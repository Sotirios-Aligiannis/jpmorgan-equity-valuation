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uebgr-my.sharepoint.com/personal/l7250009_aueb_gr/Documents/Documents/Project/"/>
    </mc:Choice>
  </mc:AlternateContent>
  <xr:revisionPtr revIDLastSave="413" documentId="13_ncr:1_{7F92BBEF-EB4B-489D-861C-9AC91E1C180E}" xr6:coauthVersionLast="47" xr6:coauthVersionMax="47" xr10:uidLastSave="{31EB9731-FA91-4B21-9842-1D309C64C535}"/>
  <bookViews>
    <workbookView xWindow="-120" yWindow="-120" windowWidth="29040" windowHeight="15720" tabRatio="500" activeTab="5" xr2:uid="{00000000-000D-0000-FFFF-FFFF00000000}"/>
  </bookViews>
  <sheets>
    <sheet name="Sheet1" sheetId="10" r:id="rId1"/>
    <sheet name="Income Statement" sheetId="1" r:id="rId2"/>
    <sheet name="Balance Sheet" sheetId="3" r:id="rId3"/>
    <sheet name="Key Metrics" sheetId="2" r:id="rId4"/>
    <sheet name="Projections" sheetId="8" r:id="rId5"/>
    <sheet name="DDM, D&amp;PDM Valuation"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1" i="9" l="1"/>
  <c r="B24" i="9"/>
  <c r="B17" i="9"/>
  <c r="A3" i="10"/>
  <c r="A16" i="10"/>
  <c r="A19" i="10"/>
  <c r="A18" i="10"/>
  <c r="A17" i="10"/>
  <c r="A15" i="10"/>
  <c r="A14" i="10"/>
  <c r="C25" i="9"/>
  <c r="C18" i="9"/>
  <c r="C11" i="9"/>
  <c r="A5" i="10"/>
  <c r="D25" i="9"/>
  <c r="B27" i="9" s="1"/>
  <c r="D18" i="9"/>
  <c r="D11" i="9"/>
  <c r="G21" i="8"/>
  <c r="G23" i="8"/>
  <c r="G22" i="8"/>
  <c r="O20" i="9"/>
  <c r="N20" i="9"/>
  <c r="M20" i="9"/>
  <c r="B20" i="9"/>
  <c r="C20" i="9" s="1"/>
  <c r="D20" i="9" s="1"/>
  <c r="E20" i="9" s="1"/>
  <c r="F20" i="9" s="1"/>
  <c r="B13" i="9"/>
  <c r="C13" i="9" s="1"/>
  <c r="D13" i="9" s="1"/>
  <c r="E13" i="9" s="1"/>
  <c r="F13" i="9" s="1"/>
  <c r="E7" i="10"/>
  <c r="A7" i="10"/>
  <c r="A6" i="10"/>
  <c r="E6" i="10"/>
  <c r="A4" i="10"/>
  <c r="C27" i="9" l="1"/>
  <c r="D27" i="9" s="1"/>
  <c r="E27" i="9" s="1"/>
  <c r="F27" i="9" s="1"/>
  <c r="B28" i="9"/>
  <c r="B29" i="9" s="1"/>
  <c r="B21" i="9"/>
  <c r="B22" i="9" s="1"/>
  <c r="D28" i="9"/>
  <c r="D29" i="9" s="1"/>
  <c r="D21" i="9"/>
  <c r="D22" i="9" s="1"/>
  <c r="C21" i="9"/>
  <c r="C22" i="9" s="1"/>
  <c r="C28" i="9" l="1"/>
  <c r="C29" i="9" s="1"/>
  <c r="F28" i="9"/>
  <c r="E28" i="9"/>
  <c r="E29" i="9" s="1"/>
  <c r="E21" i="9"/>
  <c r="E22" i="9" s="1"/>
  <c r="F21" i="9"/>
  <c r="O11" i="9" l="1"/>
  <c r="M11" i="9"/>
  <c r="F29" i="9"/>
  <c r="F22" i="9"/>
  <c r="B14" i="9"/>
  <c r="B15" i="9" s="1"/>
  <c r="D21" i="8"/>
  <c r="E21" i="8" s="1"/>
  <c r="F21" i="8" s="1"/>
  <c r="D22" i="8"/>
  <c r="E22" i="8" s="1"/>
  <c r="F22" i="8" s="1"/>
  <c r="D23" i="8"/>
  <c r="E23" i="8" s="1"/>
  <c r="F23" i="8" s="1"/>
  <c r="C21" i="8"/>
  <c r="C23" i="8"/>
  <c r="C22" i="8"/>
  <c r="B23" i="8"/>
  <c r="B22" i="8"/>
  <c r="B21" i="8"/>
  <c r="G28" i="3"/>
  <c r="F28" i="3"/>
  <c r="E28" i="3"/>
  <c r="D28" i="3"/>
  <c r="C28" i="3"/>
  <c r="B28" i="3"/>
  <c r="G26" i="3"/>
  <c r="F26" i="3"/>
  <c r="E26" i="3"/>
  <c r="D26" i="3"/>
  <c r="C26" i="3"/>
  <c r="B26" i="3"/>
  <c r="G32" i="2"/>
  <c r="F32" i="2"/>
  <c r="E32" i="2"/>
  <c r="D32" i="2"/>
  <c r="C32" i="2"/>
  <c r="B32" i="2"/>
  <c r="G31" i="2"/>
  <c r="F31" i="2"/>
  <c r="E31" i="2"/>
  <c r="D31" i="2"/>
  <c r="C31" i="2"/>
  <c r="B31" i="2"/>
  <c r="G30" i="2"/>
  <c r="F30" i="2"/>
  <c r="E30" i="2"/>
  <c r="D30" i="2"/>
  <c r="C30" i="2"/>
  <c r="B30" i="2"/>
  <c r="G28" i="2"/>
  <c r="F28" i="2"/>
  <c r="E28" i="2"/>
  <c r="D28" i="2"/>
  <c r="C28" i="2"/>
  <c r="G27" i="2"/>
  <c r="F27" i="2"/>
  <c r="E27" i="2"/>
  <c r="D27" i="2"/>
  <c r="C27" i="2"/>
  <c r="G26" i="2"/>
  <c r="F26" i="2"/>
  <c r="E26" i="2"/>
  <c r="D26" i="2"/>
  <c r="C26" i="2"/>
  <c r="D24" i="2"/>
  <c r="C24" i="2"/>
  <c r="B24" i="2"/>
  <c r="D23" i="2"/>
  <c r="C23" i="2"/>
  <c r="B23" i="2"/>
  <c r="G20" i="2"/>
  <c r="F20" i="2"/>
  <c r="E20" i="2"/>
  <c r="D20" i="2"/>
  <c r="C20" i="2"/>
  <c r="B20" i="2"/>
  <c r="G19" i="2"/>
  <c r="F19" i="2"/>
  <c r="E19" i="2"/>
  <c r="D19" i="2"/>
  <c r="C19" i="2"/>
  <c r="B19" i="2"/>
  <c r="G17" i="2"/>
  <c r="F17" i="2"/>
  <c r="E17" i="2"/>
  <c r="D17" i="2"/>
  <c r="C17" i="2"/>
  <c r="B17" i="2"/>
  <c r="G16" i="2"/>
  <c r="F16" i="2"/>
  <c r="E16" i="2"/>
  <c r="D16" i="2"/>
  <c r="C16" i="2"/>
  <c r="B16" i="2"/>
  <c r="E10" i="2"/>
  <c r="B10" i="2"/>
  <c r="G9" i="2"/>
  <c r="F9" i="2"/>
  <c r="E9" i="2"/>
  <c r="D9" i="2"/>
  <c r="C9" i="2"/>
  <c r="B9" i="2"/>
  <c r="G8" i="2"/>
  <c r="F8" i="2"/>
  <c r="E8" i="2"/>
  <c r="D8" i="2"/>
  <c r="C8" i="2"/>
  <c r="B8" i="2"/>
  <c r="G7" i="2"/>
  <c r="F7" i="2"/>
  <c r="E7" i="2"/>
  <c r="D7" i="2"/>
  <c r="C7" i="2"/>
  <c r="B7" i="2"/>
  <c r="G29" i="1"/>
  <c r="F29" i="1"/>
  <c r="E29" i="1"/>
  <c r="D29" i="1"/>
  <c r="C29" i="1"/>
  <c r="B29" i="1"/>
  <c r="G28" i="1"/>
  <c r="G10" i="2" s="1"/>
  <c r="F28" i="1"/>
  <c r="F10" i="2" s="1"/>
  <c r="E28" i="1"/>
  <c r="D28" i="1"/>
  <c r="D10" i="2" s="1"/>
  <c r="C28" i="1"/>
  <c r="C10" i="2" s="1"/>
  <c r="B28" i="1"/>
  <c r="G17" i="1"/>
  <c r="G24" i="2" s="1"/>
  <c r="F17" i="1"/>
  <c r="F24" i="2" s="1"/>
  <c r="E17" i="1"/>
  <c r="E24" i="2" s="1"/>
  <c r="D17" i="1"/>
  <c r="D22" i="2" s="1"/>
  <c r="C17" i="1"/>
  <c r="C22" i="2" s="1"/>
  <c r="B17" i="1"/>
  <c r="B22" i="2" s="1"/>
  <c r="G14" i="1"/>
  <c r="G23" i="2" s="1"/>
  <c r="F14" i="1"/>
  <c r="F23" i="2" s="1"/>
  <c r="E14" i="1"/>
  <c r="E23" i="2" s="1"/>
  <c r="D14" i="1"/>
  <c r="C14" i="1"/>
  <c r="B14" i="1"/>
  <c r="B30" i="9" l="1"/>
  <c r="O10" i="9" s="1"/>
  <c r="B23" i="9"/>
  <c r="M10" i="9" s="1"/>
  <c r="E14" i="9"/>
  <c r="E15" i="9" s="1"/>
  <c r="D14" i="9"/>
  <c r="D15" i="9" s="1"/>
  <c r="F14" i="9"/>
  <c r="F15" i="9" s="1"/>
  <c r="E22" i="2"/>
  <c r="F22" i="2"/>
  <c r="G22" i="2"/>
  <c r="C14" i="9"/>
  <c r="C15" i="9" s="1"/>
  <c r="B16" i="9" l="1"/>
  <c r="N10" i="9" s="1"/>
  <c r="N11" i="9"/>
</calcChain>
</file>

<file path=xl/sharedStrings.xml><?xml version="1.0" encoding="utf-8"?>
<sst xmlns="http://schemas.openxmlformats.org/spreadsheetml/2006/main" count="206" uniqueCount="160">
  <si>
    <t>JPMorgan Chase &amp; Co. — Consolidated Statements of Income</t>
  </si>
  <si>
    <t>$ in millions  |  Source: JPMorgan Chase 10-K Filings (SEC EDGAR)</t>
  </si>
  <si>
    <t>Year ended December 31,</t>
  </si>
  <si>
    <t>REVENUE</t>
  </si>
  <si>
    <t>Investment banking fees</t>
  </si>
  <si>
    <t>Principal transactions</t>
  </si>
  <si>
    <t>Lending- and deposit-related fees</t>
  </si>
  <si>
    <t>Asset management fees</t>
  </si>
  <si>
    <t>Commissions and other fees</t>
  </si>
  <si>
    <t>Investment securities gains/(losses)</t>
  </si>
  <si>
    <t>Mortgage fees and related income</t>
  </si>
  <si>
    <t>Card income</t>
  </si>
  <si>
    <t>Other income</t>
  </si>
  <si>
    <t>Noninterest revenue</t>
  </si>
  <si>
    <t>Interest income</t>
  </si>
  <si>
    <t>Interest expense</t>
  </si>
  <si>
    <t>Net interest income</t>
  </si>
  <si>
    <t>TOTAL NET REVENUE</t>
  </si>
  <si>
    <t>EXPENSES</t>
  </si>
  <si>
    <t>Provision for credit losses</t>
  </si>
  <si>
    <t>Compensation expense</t>
  </si>
  <si>
    <t>Occupancy expense</t>
  </si>
  <si>
    <t>Technology, comm. &amp; equipment</t>
  </si>
  <si>
    <t>Professional and outside services</t>
  </si>
  <si>
    <t>Marketing</t>
  </si>
  <si>
    <t>Other expense</t>
  </si>
  <si>
    <t>TOTAL NONINTEREST EXPENSE</t>
  </si>
  <si>
    <t>PRE-PROVISION PROFIT</t>
  </si>
  <si>
    <t>Income before income tax</t>
  </si>
  <si>
    <t>Income tax expense</t>
  </si>
  <si>
    <t>NET INCOME</t>
  </si>
  <si>
    <t>PER SHARE DATA</t>
  </si>
  <si>
    <t>Diluted EPS ($)</t>
  </si>
  <si>
    <t>Book value per share ($)</t>
  </si>
  <si>
    <t>Tangible book value per share ($)</t>
  </si>
  <si>
    <t>Source: JPMorgan Chase &amp; Co. Annual Report on Form 10-K, FY2020–FY2025, SEC EDGAR</t>
  </si>
  <si>
    <t>Color code: Blue = hardcoded input from 10-K  |  Black = formula  |  Green = cross-sheet link</t>
  </si>
  <si>
    <t>JPMorgan Chase &amp; Co. — Key Financial Metrics &amp; Ratios</t>
  </si>
  <si>
    <t>$ in millions unless noted  |  Source: JPMorgan Chase 10-K Filings (SEC EDGAR)</t>
  </si>
  <si>
    <t>Metric</t>
  </si>
  <si>
    <t>PROFITABILITY</t>
  </si>
  <si>
    <t>Return on Common Equity (ROE)</t>
  </si>
  <si>
    <t>Return on Tangible Common Eq (ROTCE)</t>
  </si>
  <si>
    <t>Net Income ($mm)</t>
  </si>
  <si>
    <t>Total Net Revenue ($mm)</t>
  </si>
  <si>
    <t>Net Income Margin</t>
  </si>
  <si>
    <t>Pre-Provision Profit ($mm)</t>
  </si>
  <si>
    <t>CAPITAL ADEQUACY</t>
  </si>
  <si>
    <t>CET1 Capital Ratio</t>
  </si>
  <si>
    <t>Tier 1 Capital Ratio</t>
  </si>
  <si>
    <t>Total Capital Ratio</t>
  </si>
  <si>
    <t>CREDIT QUALITY</t>
  </si>
  <si>
    <t>Provision for Credit Losses ($mm)</t>
  </si>
  <si>
    <t>Provision as % of Revenue</t>
  </si>
  <si>
    <t>EFFICIENCY</t>
  </si>
  <si>
    <t>Efficiency Ratio</t>
  </si>
  <si>
    <t>Noninterest Expense ($mm)</t>
  </si>
  <si>
    <t>REVENUE MIX</t>
  </si>
  <si>
    <t>Net Interest Income ($mm)</t>
  </si>
  <si>
    <t>Noninterest Revenue ($mm)</t>
  </si>
  <si>
    <t>NII as % of Total Revenue</t>
  </si>
  <si>
    <t>GROWTH (YoY)</t>
  </si>
  <si>
    <t>Revenue Growth</t>
  </si>
  <si>
    <t>-</t>
  </si>
  <si>
    <t>Net Income Growth</t>
  </si>
  <si>
    <t>EPS Growth</t>
  </si>
  <si>
    <t>PER SHARE</t>
  </si>
  <si>
    <t>Book Value per Share ($)</t>
  </si>
  <si>
    <t>Tangible Book Value per Share ($)</t>
  </si>
  <si>
    <t>Color code: Blue = hardcoded input  |  Black = formula  |  Green = cross-sheet link from Income Statement</t>
  </si>
  <si>
    <t>JPMorgan Chase &amp; Co. — Selected Balance Sheet Data</t>
  </si>
  <si>
    <t>Balance Sheet Item</t>
  </si>
  <si>
    <t>ASSETS</t>
  </si>
  <si>
    <t>Cash &amp; deposits with banks</t>
  </si>
  <si>
    <t>Investment securities (net)</t>
  </si>
  <si>
    <t>Total loans</t>
  </si>
  <si>
    <t>Allowance for loan losses</t>
  </si>
  <si>
    <t>Loans net of allowance</t>
  </si>
  <si>
    <t>Trading assets</t>
  </si>
  <si>
    <t>Total assets</t>
  </si>
  <si>
    <t>LIABILITIES</t>
  </si>
  <si>
    <t>Total deposits</t>
  </si>
  <si>
    <t>Short-term borrowings</t>
  </si>
  <si>
    <t>Long-term debt</t>
  </si>
  <si>
    <t>Total liabilities</t>
  </si>
  <si>
    <t>EQUITY</t>
  </si>
  <si>
    <t>Total stockholders equity</t>
  </si>
  <si>
    <t>Common shares outstanding (mm)</t>
  </si>
  <si>
    <t>LOAN PORTFOLIO MIX</t>
  </si>
  <si>
    <t>Consumer loans (excl. card)</t>
  </si>
  <si>
    <t>Credit card loans</t>
  </si>
  <si>
    <t>Wholesale loans</t>
  </si>
  <si>
    <t>Allowance for loan losses ($mm)</t>
  </si>
  <si>
    <t>ACL / Total loans ratio</t>
  </si>
  <si>
    <t>Net charge-offs ($mm)</t>
  </si>
  <si>
    <t>NCO ratio (NCO / Avg loans)</t>
  </si>
  <si>
    <t>Note: Some balance sheet line items are rounded or estimated from reported segment data where consolidated detail was unavailable.</t>
  </si>
  <si>
    <t>Assumptions</t>
  </si>
  <si>
    <t>Bear</t>
  </si>
  <si>
    <t xml:space="preserve">Scenario Summary </t>
  </si>
  <si>
    <t xml:space="preserve">Bull </t>
  </si>
  <si>
    <t xml:space="preserve">Base </t>
  </si>
  <si>
    <t xml:space="preserve">Interest rate shift </t>
  </si>
  <si>
    <t>Loan Book shift</t>
  </si>
  <si>
    <t>NII 2026</t>
  </si>
  <si>
    <t>Net Interest Income 2026</t>
  </si>
  <si>
    <t>NII Projections 2026-2030</t>
  </si>
  <si>
    <t>Bull</t>
  </si>
  <si>
    <t>Scenario Summary</t>
  </si>
  <si>
    <t>Bear loan growth</t>
  </si>
  <si>
    <t>Bear rate shift</t>
  </si>
  <si>
    <t>Base loan growth</t>
  </si>
  <si>
    <t xml:space="preserve">Base rate shift </t>
  </si>
  <si>
    <t xml:space="preserve">Bull loan growth </t>
  </si>
  <si>
    <t>Base</t>
  </si>
  <si>
    <t xml:space="preserve">Bull rate shift </t>
  </si>
  <si>
    <t>Payout Ratio</t>
  </si>
  <si>
    <t xml:space="preserve">Cost of Equity </t>
  </si>
  <si>
    <t>Terminal Growth Rate</t>
  </si>
  <si>
    <t>Net income growth rate</t>
  </si>
  <si>
    <t>Share reduction</t>
  </si>
  <si>
    <t>Projections 2026-30</t>
  </si>
  <si>
    <t>Dividend</t>
  </si>
  <si>
    <t>Discounted Divident</t>
  </si>
  <si>
    <t>DDM</t>
  </si>
  <si>
    <t>EPS</t>
  </si>
  <si>
    <t xml:space="preserve">Bear </t>
  </si>
  <si>
    <t>Discounted Dividend</t>
  </si>
  <si>
    <t>D&amp;PDM</t>
  </si>
  <si>
    <t xml:space="preserve">Current Market Price </t>
  </si>
  <si>
    <t>Model</t>
  </si>
  <si>
    <t xml:space="preserve">Refrence Table </t>
  </si>
  <si>
    <t>EPS Growth Rates</t>
  </si>
  <si>
    <t>Valuation Result Table</t>
  </si>
  <si>
    <t>How to read</t>
  </si>
  <si>
    <t>Company's Income statement</t>
  </si>
  <si>
    <t>FY 2020-25</t>
  </si>
  <si>
    <t xml:space="preserve">Company’s Balance Sheet </t>
  </si>
  <si>
    <t>Company's Key metrics</t>
  </si>
  <si>
    <t>Contents</t>
  </si>
  <si>
    <t>Period</t>
  </si>
  <si>
    <t>Source</t>
  </si>
  <si>
    <t>K-10</t>
  </si>
  <si>
    <t>FY 2026-30</t>
  </si>
  <si>
    <t>Past trends</t>
  </si>
  <si>
    <t>Projections</t>
  </si>
  <si>
    <t>Future Projections based on Interest rate shift and Loan book shift "SEE E6"</t>
  </si>
  <si>
    <t>Links</t>
  </si>
  <si>
    <t>DDM and D&amp;PDM (DDM with P/E exit multiple) valuation based on Projections and Assumptions "SEE E7"</t>
  </si>
  <si>
    <t>How we came about the values</t>
  </si>
  <si>
    <t>P/E multiple</t>
  </si>
  <si>
    <t>Conservative estimation based on historical data and bear/base/bull cases</t>
  </si>
  <si>
    <t>NII growth</t>
  </si>
  <si>
    <t>"SEE ME"</t>
  </si>
  <si>
    <t>EPS growth is proxied by projected NII growth (Bear/Base/Bull), per Projections tab</t>
  </si>
  <si>
    <t>Estimated with bear/bull/base cases</t>
  </si>
  <si>
    <t>Conservative estimation based on inflation and GDP growth (11/04/2026)</t>
  </si>
  <si>
    <t>Derived from 10-K data, net income growth rate and share reduction with bear/base/bull cases</t>
  </si>
  <si>
    <t>Calculated from the 10-K</t>
  </si>
  <si>
    <t>This is a JPM equity valuation, DDM and D&amp;PDM, FY2020-25 historical and projection for 2026-30 (as of 11/04/2026-DD/MM/YYYY)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</si>
</sst>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164" formatCode="#,##0;\(#,##0\);\-"/>
    <numFmt numFmtId="165" formatCode="#,##0.00;\(#,##0.00\);\-"/>
    <numFmt numFmtId="166" formatCode="0.0%;\(0.0%\);\-"/>
    <numFmt numFmtId="167" formatCode="\$#,##0.00;&quot;($&quot;#,##0.00\);\-"/>
    <numFmt numFmtId="168" formatCode="0.00%;\(0.00%\);\-"/>
  </numFmts>
  <fonts count="18" x14ac:knownFonts="1">
    <font>
      <sz val="11"/>
      <color theme="1"/>
      <name val="Calibri"/>
      <family val="2"/>
      <charset val="1"/>
    </font>
    <font>
      <b/>
      <sz val="13"/>
      <color rgb="FFFFFFFF"/>
      <name val="Arial"/>
      <charset val="1"/>
    </font>
    <font>
      <i/>
      <sz val="9"/>
      <color rgb="FF595959"/>
      <name val="Arial"/>
      <charset val="1"/>
    </font>
    <font>
      <b/>
      <sz val="10"/>
      <color rgb="FFFFFFFF"/>
      <name val="Arial"/>
      <charset val="1"/>
    </font>
    <font>
      <sz val="10"/>
      <color rgb="FF000000"/>
      <name val="Arial"/>
      <charset val="1"/>
    </font>
    <font>
      <sz val="10"/>
      <color rgb="FF0000FF"/>
      <name val="Arial"/>
      <charset val="1"/>
    </font>
    <font>
      <b/>
      <sz val="10"/>
      <color rgb="FF000000"/>
      <name val="Arial"/>
      <charset val="1"/>
    </font>
    <font>
      <i/>
      <sz val="8"/>
      <color rgb="FF595959"/>
      <name val="Arial"/>
      <charset val="1"/>
    </font>
    <font>
      <sz val="10"/>
      <color rgb="FF008000"/>
      <name val="Arial"/>
      <charset val="1"/>
    </font>
    <font>
      <i/>
      <sz val="8"/>
      <color rgb="FFFF0000"/>
      <name val="Arial"/>
      <charset val="1"/>
    </font>
    <font>
      <sz val="11"/>
      <color rgb="FF0070C0"/>
      <name val="Calibri"/>
      <family val="2"/>
      <charset val="1"/>
    </font>
    <font>
      <sz val="11"/>
      <color theme="0"/>
      <name val="Calibri"/>
      <family val="2"/>
      <charset val="1"/>
    </font>
    <font>
      <sz val="11"/>
      <color theme="3" tint="0.39997558519241921"/>
      <name val="Calibri"/>
      <family val="2"/>
      <charset val="1"/>
    </font>
    <font>
      <sz val="11"/>
      <color theme="1"/>
      <name val="Calibri"/>
      <family val="2"/>
      <charset val="1"/>
    </font>
    <font>
      <u/>
      <sz val="11"/>
      <color theme="10"/>
      <name val="Calibri"/>
      <family val="2"/>
      <charset val="1"/>
    </font>
    <font>
      <sz val="10"/>
      <color theme="1"/>
      <name val="Calibri"/>
      <family val="2"/>
      <charset val="1"/>
    </font>
    <font>
      <b/>
      <sz val="11"/>
      <color theme="1"/>
      <name val="Calibri"/>
      <family val="2"/>
    </font>
    <font>
      <sz val="8"/>
      <name val="Calibri"/>
      <family val="2"/>
      <charset val="1"/>
    </font>
  </fonts>
  <fills count="12">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FFFF"/>
        <bgColor rgb="FFF2F2F2"/>
      </patternFill>
    </fill>
    <fill>
      <patternFill patternType="solid">
        <fgColor rgb="FFF2F2F2"/>
        <bgColor rgb="FFFFFFFF"/>
      </patternFill>
    </fill>
    <fill>
      <patternFill patternType="solid">
        <fgColor rgb="FFD6E4F0"/>
        <bgColor rgb="FFF2F2F2"/>
      </patternFill>
    </fill>
    <fill>
      <patternFill patternType="solid">
        <fgColor theme="4" tint="0.39997558519241921"/>
        <bgColor indexed="64"/>
      </patternFill>
    </fill>
    <fill>
      <patternFill patternType="solid">
        <fgColor theme="3" tint="0.59999389629810485"/>
        <bgColor indexed="64"/>
      </patternFill>
    </fill>
    <fill>
      <patternFill patternType="solid">
        <fgColor rgb="FF0070C0"/>
        <bgColor indexed="64"/>
      </patternFill>
    </fill>
    <fill>
      <patternFill patternType="solid">
        <fgColor rgb="FFFFFF00"/>
        <bgColor indexed="64"/>
      </patternFill>
    </fill>
    <fill>
      <patternFill patternType="solid">
        <fgColor theme="0" tint="-0.249977111117893"/>
        <bgColor indexed="64"/>
      </patternFill>
    </fill>
  </fills>
  <borders count="1">
    <border>
      <left/>
      <right/>
      <top/>
      <bottom/>
      <diagonal/>
    </border>
  </borders>
  <cellStyleXfs count="3">
    <xf numFmtId="0" fontId="0" fillId="0" borderId="0"/>
    <xf numFmtId="44" fontId="13" fillId="0" borderId="0" applyFont="0" applyFill="0" applyBorder="0" applyAlignment="0" applyProtection="0"/>
    <xf numFmtId="0" fontId="14" fillId="0" borderId="0" applyNumberFormat="0" applyFill="0" applyBorder="0" applyAlignment="0" applyProtection="0"/>
  </cellStyleXfs>
  <cellXfs count="54">
    <xf numFmtId="0" fontId="0" fillId="0" borderId="0" xfId="0"/>
    <xf numFmtId="0" fontId="3" fillId="3" borderId="0" xfId="0" applyFont="1" applyFill="1"/>
    <xf numFmtId="0" fontId="3" fillId="3" borderId="0" xfId="0" applyFont="1" applyFill="1" applyAlignment="1">
      <alignment horizontal="center"/>
    </xf>
    <xf numFmtId="0" fontId="4" fillId="4" borderId="0" xfId="0" applyFont="1" applyFill="1"/>
    <xf numFmtId="164" fontId="5" fillId="4" borderId="0" xfId="0" applyNumberFormat="1" applyFont="1" applyFill="1" applyAlignment="1">
      <alignment horizontal="right"/>
    </xf>
    <xf numFmtId="0" fontId="4" fillId="5" borderId="0" xfId="0" applyFont="1" applyFill="1"/>
    <xf numFmtId="164" fontId="5" fillId="5" borderId="0" xfId="0" applyNumberFormat="1" applyFont="1" applyFill="1" applyAlignment="1">
      <alignment horizontal="right"/>
    </xf>
    <xf numFmtId="0" fontId="6" fillId="6" borderId="0" xfId="0" applyFont="1" applyFill="1"/>
    <xf numFmtId="164" fontId="6" fillId="6" borderId="0" xfId="0" applyNumberFormat="1" applyFont="1" applyFill="1" applyAlignment="1">
      <alignment horizontal="right"/>
    </xf>
    <xf numFmtId="165" fontId="5" fillId="4" borderId="0" xfId="0" applyNumberFormat="1" applyFont="1" applyFill="1" applyAlignment="1">
      <alignment horizontal="right"/>
    </xf>
    <xf numFmtId="165" fontId="5" fillId="5" borderId="0" xfId="0" applyNumberFormat="1" applyFont="1" applyFill="1" applyAlignment="1">
      <alignment horizontal="right"/>
    </xf>
    <xf numFmtId="166" fontId="5" fillId="4" borderId="0" xfId="0" applyNumberFormat="1" applyFont="1" applyFill="1" applyAlignment="1">
      <alignment horizontal="right"/>
    </xf>
    <xf numFmtId="166" fontId="5" fillId="5" borderId="0" xfId="0" applyNumberFormat="1" applyFont="1" applyFill="1" applyAlignment="1">
      <alignment horizontal="right"/>
    </xf>
    <xf numFmtId="164" fontId="8" fillId="4" borderId="0" xfId="0" applyNumberFormat="1" applyFont="1" applyFill="1" applyAlignment="1">
      <alignment horizontal="right"/>
    </xf>
    <xf numFmtId="164" fontId="8" fillId="5" borderId="0" xfId="0" applyNumberFormat="1" applyFont="1" applyFill="1" applyAlignment="1">
      <alignment horizontal="right"/>
    </xf>
    <xf numFmtId="166" fontId="8" fillId="4" borderId="0" xfId="0" applyNumberFormat="1" applyFont="1" applyFill="1" applyAlignment="1">
      <alignment horizontal="right"/>
    </xf>
    <xf numFmtId="166" fontId="8" fillId="5" borderId="0" xfId="0" applyNumberFormat="1" applyFont="1" applyFill="1" applyAlignment="1">
      <alignment horizontal="right"/>
    </xf>
    <xf numFmtId="166" fontId="4" fillId="5" borderId="0" xfId="0" applyNumberFormat="1" applyFont="1" applyFill="1" applyAlignment="1">
      <alignment horizontal="right"/>
    </xf>
    <xf numFmtId="166" fontId="4" fillId="4" borderId="0" xfId="0" applyNumberFormat="1" applyFont="1" applyFill="1" applyAlignment="1">
      <alignment horizontal="right"/>
    </xf>
    <xf numFmtId="167" fontId="8" fillId="5" borderId="0" xfId="0" applyNumberFormat="1" applyFont="1" applyFill="1" applyAlignment="1">
      <alignment horizontal="right"/>
    </xf>
    <xf numFmtId="167" fontId="8" fillId="4" borderId="0" xfId="0" applyNumberFormat="1" applyFont="1" applyFill="1" applyAlignment="1">
      <alignment horizontal="right"/>
    </xf>
    <xf numFmtId="168" fontId="4" fillId="5" borderId="0" xfId="0" applyNumberFormat="1" applyFont="1" applyFill="1" applyAlignment="1">
      <alignment horizontal="right"/>
    </xf>
    <xf numFmtId="0" fontId="10" fillId="0" borderId="0" xfId="0" applyFont="1"/>
    <xf numFmtId="0" fontId="0" fillId="7" borderId="0" xfId="0" applyFill="1"/>
    <xf numFmtId="0" fontId="12" fillId="0" borderId="0" xfId="0" applyFont="1"/>
    <xf numFmtId="10" fontId="12" fillId="0" borderId="0" xfId="0" applyNumberFormat="1" applyFont="1"/>
    <xf numFmtId="42" fontId="0" fillId="7" borderId="0" xfId="0" applyNumberFormat="1" applyFill="1"/>
    <xf numFmtId="42" fontId="12" fillId="0" borderId="0" xfId="0" applyNumberFormat="1" applyFont="1"/>
    <xf numFmtId="9" fontId="12" fillId="0" borderId="0" xfId="0" applyNumberFormat="1" applyFont="1"/>
    <xf numFmtId="44" fontId="12" fillId="0" borderId="0" xfId="1" applyFont="1"/>
    <xf numFmtId="44" fontId="0" fillId="8" borderId="0" xfId="1" applyFont="1" applyFill="1"/>
    <xf numFmtId="0" fontId="11" fillId="9" borderId="0" xfId="0" applyFont="1" applyFill="1"/>
    <xf numFmtId="0" fontId="0" fillId="9" borderId="0" xfId="0" applyFill="1"/>
    <xf numFmtId="44" fontId="0" fillId="0" borderId="0" xfId="0" applyNumberFormat="1"/>
    <xf numFmtId="44" fontId="12" fillId="0" borderId="0" xfId="0" applyNumberFormat="1" applyFont="1"/>
    <xf numFmtId="44" fontId="0" fillId="10" borderId="0" xfId="0" applyNumberFormat="1" applyFill="1"/>
    <xf numFmtId="10" fontId="11" fillId="9" borderId="0" xfId="0" applyNumberFormat="1" applyFont="1" applyFill="1"/>
    <xf numFmtId="44" fontId="0" fillId="11" borderId="0" xfId="0" applyNumberFormat="1" applyFill="1"/>
    <xf numFmtId="0" fontId="10" fillId="11" borderId="0" xfId="0" applyFont="1" applyFill="1"/>
    <xf numFmtId="10" fontId="0" fillId="11" borderId="0" xfId="0" applyNumberFormat="1" applyFill="1"/>
    <xf numFmtId="0" fontId="14" fillId="0" borderId="0" xfId="2"/>
    <xf numFmtId="0" fontId="15" fillId="0" borderId="0" xfId="0" applyFont="1"/>
    <xf numFmtId="0" fontId="0" fillId="0" borderId="0" xfId="0" applyAlignment="1">
      <alignment horizontal="center" vertical="center"/>
    </xf>
    <xf numFmtId="2" fontId="12" fillId="0" borderId="0" xfId="0" applyNumberFormat="1" applyFont="1"/>
    <xf numFmtId="10" fontId="11" fillId="9" borderId="0" xfId="0" applyNumberFormat="1" applyFont="1" applyFill="1" applyAlignment="1">
      <alignment horizontal="center"/>
    </xf>
    <xf numFmtId="10" fontId="0" fillId="7" borderId="0" xfId="0" applyNumberFormat="1" applyFill="1"/>
    <xf numFmtId="0" fontId="14" fillId="9" borderId="0" xfId="2" applyFill="1"/>
    <xf numFmtId="0" fontId="16" fillId="0" borderId="0" xfId="0" applyFont="1"/>
    <xf numFmtId="0" fontId="7" fillId="0" borderId="0" xfId="0" applyFont="1"/>
    <xf numFmtId="0" fontId="1" fillId="2" borderId="0" xfId="0" applyFont="1" applyFill="1" applyAlignment="1">
      <alignment horizontal="center" vertical="center"/>
    </xf>
    <xf numFmtId="0" fontId="2" fillId="0" borderId="0" xfId="0" applyFont="1"/>
    <xf numFmtId="0" fontId="3" fillId="3" borderId="0" xfId="0" applyFont="1" applyFill="1"/>
    <xf numFmtId="0" fontId="9" fillId="0" borderId="0" xfId="0" applyFont="1"/>
    <xf numFmtId="0" fontId="11" fillId="9" borderId="0" xfId="0" applyFont="1" applyFill="1" applyAlignment="1">
      <alignment horizontal="center"/>
    </xf>
  </cellXfs>
  <cellStyles count="3">
    <cellStyle name="Currency" xfId="1" builtinId="4"/>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14</xdr:col>
      <xdr:colOff>586740</xdr:colOff>
      <xdr:row>7</xdr:row>
      <xdr:rowOff>0</xdr:rowOff>
    </xdr:from>
    <xdr:to>
      <xdr:col>21</xdr:col>
      <xdr:colOff>0</xdr:colOff>
      <xdr:row>21</xdr:row>
      <xdr:rowOff>0</xdr:rowOff>
    </xdr:to>
    <xdr:sp macro="" textlink="">
      <xdr:nvSpPr>
        <xdr:cNvPr id="3" name="TextBox 2">
          <a:extLst>
            <a:ext uri="{FF2B5EF4-FFF2-40B4-BE49-F238E27FC236}">
              <a16:creationId xmlns:a16="http://schemas.microsoft.com/office/drawing/2014/main" id="{B63542A5-1A52-A89F-4D36-05CE6D0E7DD9}"/>
            </a:ext>
          </a:extLst>
        </xdr:cNvPr>
        <xdr:cNvSpPr txBox="1"/>
      </xdr:nvSpPr>
      <xdr:spPr>
        <a:xfrm>
          <a:off x="10873740" y="1280160"/>
          <a:ext cx="3665220" cy="2560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Conclusion</a:t>
          </a:r>
          <a:br>
            <a:rPr lang="en-US" sz="1100"/>
          </a:br>
          <a:r>
            <a:rPr lang="en-US"/>
            <a:t>From our valuation we conclude that JPMorgan's stock is modestly overpriced in bear and base</a:t>
          </a:r>
          <a:r>
            <a:rPr lang="en-US" baseline="0"/>
            <a:t> cases</a:t>
          </a:r>
          <a:r>
            <a:rPr lang="en-US"/>
            <a:t> according to our models with the bull case being a bit higher</a:t>
          </a:r>
          <a:r>
            <a:rPr lang="en-US" baseline="0"/>
            <a:t> than current market price, based on the D&amp;PDM values</a:t>
          </a:r>
          <a:r>
            <a:rPr lang="en-US"/>
            <a:t>. In reality the stock is fairly priced, as the gap stems from our models' conservative assumptions and the fact that the significant value of the company's buyback program is not accounted for. We conclude that investors can confidently hold existing positions, however initiation of new positions would be better at a more attractive entry point, a conclusion supported by the discrepancy between our DDM and D&amp;PDM valuations, reflecting the market's pricing of terminal appreciation beyond the dividend stream.</a:t>
          </a:r>
        </a:p>
        <a:p>
          <a:r>
            <a:rPr lang="en-US" sz="1100"/>
            <a:t>Note:</a:t>
          </a:r>
          <a:r>
            <a:rPr lang="en-US" sz="1100" baseline="0"/>
            <a:t> </a:t>
          </a:r>
          <a:r>
            <a:rPr lang="en-US"/>
            <a:t>This conclusion does not constitute financial advice.</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81EB-E5ED-42A9-AA46-269C2C4CCEFC}">
  <dimension ref="A1:E19"/>
  <sheetViews>
    <sheetView workbookViewId="0">
      <selection activeCell="A4" sqref="A4"/>
    </sheetView>
  </sheetViews>
  <sheetFormatPr defaultRowHeight="15" x14ac:dyDescent="0.25"/>
  <cols>
    <col min="1" max="1" width="29" bestFit="1" customWidth="1"/>
    <col min="2" max="2" width="85.7109375" bestFit="1" customWidth="1"/>
    <col min="3" max="3" width="10.140625" bestFit="1" customWidth="1"/>
    <col min="4" max="4" width="10.85546875" bestFit="1" customWidth="1"/>
    <col min="5" max="5" width="12.42578125" bestFit="1" customWidth="1"/>
  </cols>
  <sheetData>
    <row r="1" spans="1:5" x14ac:dyDescent="0.25">
      <c r="A1" t="s">
        <v>159</v>
      </c>
    </row>
    <row r="2" spans="1:5" x14ac:dyDescent="0.25">
      <c r="A2" t="s">
        <v>134</v>
      </c>
      <c r="B2" t="s">
        <v>139</v>
      </c>
      <c r="C2" t="s">
        <v>140</v>
      </c>
      <c r="D2" t="s">
        <v>141</v>
      </c>
      <c r="E2" t="s">
        <v>147</v>
      </c>
    </row>
    <row r="3" spans="1:5" x14ac:dyDescent="0.25">
      <c r="A3" s="40" t="str">
        <f>HYPERLINK("#'Income Statement'!A1", "Income Statement")</f>
        <v>Income Statement</v>
      </c>
      <c r="B3" t="s">
        <v>135</v>
      </c>
      <c r="C3" t="s">
        <v>136</v>
      </c>
      <c r="D3" t="s">
        <v>142</v>
      </c>
    </row>
    <row r="4" spans="1:5" x14ac:dyDescent="0.25">
      <c r="A4" s="40" t="str">
        <f>HYPERLINK("#'Balance Sheet'!A1", "Balance Sheet")</f>
        <v>Balance Sheet</v>
      </c>
      <c r="B4" t="s">
        <v>137</v>
      </c>
      <c r="C4" t="s">
        <v>136</v>
      </c>
      <c r="D4" t="s">
        <v>142</v>
      </c>
    </row>
    <row r="5" spans="1:5" x14ac:dyDescent="0.25">
      <c r="A5" s="40" t="str">
        <f>HYPERLINK("#'Key Metrics'!A1", "Key Metrics")</f>
        <v>Key Metrics</v>
      </c>
      <c r="B5" t="s">
        <v>138</v>
      </c>
      <c r="C5" t="s">
        <v>136</v>
      </c>
      <c r="D5" t="s">
        <v>142</v>
      </c>
    </row>
    <row r="6" spans="1:5" x14ac:dyDescent="0.25">
      <c r="A6" s="40" t="str">
        <f>HYPERLINK("#'Projections'!A20","Projections")</f>
        <v>Projections</v>
      </c>
      <c r="B6" s="41" t="s">
        <v>146</v>
      </c>
      <c r="C6" t="s">
        <v>143</v>
      </c>
      <c r="D6" t="s">
        <v>144</v>
      </c>
      <c r="E6" s="40" t="str">
        <f>HYPERLINK("#'Projections'!A1", "I.R.S.&amp;L.B.S.")</f>
        <v>I.R.S.&amp;L.B.S.</v>
      </c>
    </row>
    <row r="7" spans="1:5" x14ac:dyDescent="0.25">
      <c r="A7" s="40" t="str">
        <f>HYPERLINK("#'DDM, D&amp;PDM Valuation'!L8", "DDM, D&amp;PDM Valuation")</f>
        <v>DDM, D&amp;PDM Valuation</v>
      </c>
      <c r="B7" s="41" t="s">
        <v>148</v>
      </c>
      <c r="C7" t="s">
        <v>143</v>
      </c>
      <c r="D7" t="s">
        <v>145</v>
      </c>
      <c r="E7" s="40" t="str">
        <f>HYPERLINK("#'DDM, D&amp;PDM Valuation'!A1","Assumptions")</f>
        <v>Assumptions</v>
      </c>
    </row>
    <row r="13" spans="1:5" x14ac:dyDescent="0.25">
      <c r="A13" t="s">
        <v>149</v>
      </c>
    </row>
    <row r="14" spans="1:5" x14ac:dyDescent="0.25">
      <c r="A14" s="40" t="str">
        <f>HYPERLINK("#'DDM, D&amp;PDM Valuation'!A2", "Payout Ratio")</f>
        <v>Payout Ratio</v>
      </c>
      <c r="B14" s="42" t="s">
        <v>158</v>
      </c>
    </row>
    <row r="15" spans="1:5" x14ac:dyDescent="0.25">
      <c r="A15" s="40" t="str">
        <f>HYPERLINK("#'DDM, D&amp;PDM Valuation'!A3", "Cost of Equity")</f>
        <v>Cost of Equity</v>
      </c>
      <c r="B15" s="42" t="s">
        <v>158</v>
      </c>
    </row>
    <row r="16" spans="1:5" x14ac:dyDescent="0.25">
      <c r="A16" s="40" t="str">
        <f>HYPERLINK("#'DDM, D&amp;PDM Valuation'!A3", "EPS")</f>
        <v>EPS</v>
      </c>
      <c r="B16" s="42" t="s">
        <v>157</v>
      </c>
    </row>
    <row r="17" spans="1:2" x14ac:dyDescent="0.25">
      <c r="A17" s="40" t="str">
        <f>HYPERLINK("#'DDM, D&amp;PDM Valuation'!A3", "Terminal Growth Rate")</f>
        <v>Terminal Growth Rate</v>
      </c>
      <c r="B17" t="s">
        <v>156</v>
      </c>
    </row>
    <row r="18" spans="1:2" x14ac:dyDescent="0.25">
      <c r="A18" s="40" t="str">
        <f>HYPERLINK("#'DDM, D&amp;PDM Valuation'!A3", "Share reduction")</f>
        <v>Share reduction</v>
      </c>
      <c r="B18" t="s">
        <v>151</v>
      </c>
    </row>
    <row r="19" spans="1:2" x14ac:dyDescent="0.25">
      <c r="A19" s="40" t="str">
        <f>HYPERLINK("#'DDM, D&amp;PDM Valuation'!A3", "Net income growth rate")</f>
        <v>Net income growth rate</v>
      </c>
      <c r="B19" t="s">
        <v>155</v>
      </c>
    </row>
  </sheetData>
  <phoneticPr fontId="1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zoomScaleNormal="100" workbookViewId="0">
      <selection sqref="A1:H1"/>
    </sheetView>
  </sheetViews>
  <sheetFormatPr defaultColWidth="8.7109375" defaultRowHeight="15" x14ac:dyDescent="0.25"/>
  <cols>
    <col min="1" max="1" width="42" customWidth="1"/>
    <col min="2" max="8" width="16" customWidth="1"/>
  </cols>
  <sheetData>
    <row r="1" spans="1:8" ht="27.75" customHeight="1" x14ac:dyDescent="0.25">
      <c r="A1" s="49" t="s">
        <v>0</v>
      </c>
      <c r="B1" s="49"/>
      <c r="C1" s="49"/>
      <c r="D1" s="49"/>
      <c r="E1" s="49"/>
      <c r="F1" s="49"/>
      <c r="G1" s="49"/>
      <c r="H1" s="49"/>
    </row>
    <row r="2" spans="1:8" x14ac:dyDescent="0.25">
      <c r="A2" s="50" t="s">
        <v>1</v>
      </c>
      <c r="B2" s="50"/>
      <c r="C2" s="50"/>
      <c r="D2" s="50"/>
      <c r="E2" s="50"/>
      <c r="F2" s="50"/>
      <c r="G2" s="50"/>
      <c r="H2" s="50"/>
    </row>
    <row r="3" spans="1:8" ht="19.5" customHeight="1" x14ac:dyDescent="0.25">
      <c r="A3" s="1" t="s">
        <v>2</v>
      </c>
      <c r="B3" s="2">
        <v>2020</v>
      </c>
      <c r="C3" s="2">
        <v>2021</v>
      </c>
      <c r="D3" s="2">
        <v>2022</v>
      </c>
      <c r="E3" s="2">
        <v>2023</v>
      </c>
      <c r="F3" s="2">
        <v>2024</v>
      </c>
      <c r="G3" s="2">
        <v>2025</v>
      </c>
    </row>
    <row r="4" spans="1:8" ht="18" customHeight="1" x14ac:dyDescent="0.25">
      <c r="A4" s="51" t="s">
        <v>3</v>
      </c>
      <c r="B4" s="51"/>
      <c r="C4" s="51"/>
      <c r="D4" s="51"/>
      <c r="E4" s="51"/>
      <c r="F4" s="51"/>
      <c r="G4" s="51"/>
      <c r="H4" s="51"/>
    </row>
    <row r="5" spans="1:8" x14ac:dyDescent="0.25">
      <c r="A5" s="3" t="s">
        <v>4</v>
      </c>
      <c r="B5" s="4">
        <v>8476</v>
      </c>
      <c r="C5" s="4">
        <v>13216</v>
      </c>
      <c r="D5" s="4">
        <v>6686</v>
      </c>
      <c r="E5" s="4">
        <v>6519</v>
      </c>
      <c r="F5" s="4">
        <v>8910</v>
      </c>
      <c r="G5" s="4">
        <v>9841</v>
      </c>
    </row>
    <row r="6" spans="1:8" x14ac:dyDescent="0.25">
      <c r="A6" s="5" t="s">
        <v>5</v>
      </c>
      <c r="B6" s="6">
        <v>13121</v>
      </c>
      <c r="C6" s="6">
        <v>16304</v>
      </c>
      <c r="D6" s="6">
        <v>19912</v>
      </c>
      <c r="E6" s="6">
        <v>24460</v>
      </c>
      <c r="F6" s="6">
        <v>24787</v>
      </c>
      <c r="G6" s="6">
        <v>28039</v>
      </c>
    </row>
    <row r="7" spans="1:8" x14ac:dyDescent="0.25">
      <c r="A7" s="3" t="s">
        <v>6</v>
      </c>
      <c r="B7" s="4">
        <v>6815</v>
      </c>
      <c r="C7" s="4">
        <v>7032</v>
      </c>
      <c r="D7" s="4">
        <v>7098</v>
      </c>
      <c r="E7" s="4">
        <v>7413</v>
      </c>
      <c r="F7" s="4">
        <v>7606</v>
      </c>
      <c r="G7" s="4">
        <v>7781</v>
      </c>
    </row>
    <row r="8" spans="1:8" x14ac:dyDescent="0.25">
      <c r="A8" s="5" t="s">
        <v>7</v>
      </c>
      <c r="B8" s="6">
        <v>13350</v>
      </c>
      <c r="C8" s="6">
        <v>14405</v>
      </c>
      <c r="D8" s="6">
        <v>14096</v>
      </c>
      <c r="E8" s="6">
        <v>15220</v>
      </c>
      <c r="F8" s="6">
        <v>17801</v>
      </c>
      <c r="G8" s="6">
        <v>19738</v>
      </c>
    </row>
    <row r="9" spans="1:8" x14ac:dyDescent="0.25">
      <c r="A9" s="3" t="s">
        <v>8</v>
      </c>
      <c r="B9" s="4">
        <v>6340</v>
      </c>
      <c r="C9" s="4">
        <v>6624</v>
      </c>
      <c r="D9" s="4">
        <v>6581</v>
      </c>
      <c r="E9" s="4">
        <v>6836</v>
      </c>
      <c r="F9" s="4">
        <v>7530</v>
      </c>
      <c r="G9" s="4">
        <v>7914</v>
      </c>
    </row>
    <row r="10" spans="1:8" x14ac:dyDescent="0.25">
      <c r="A10" s="5" t="s">
        <v>9</v>
      </c>
      <c r="B10" s="6">
        <v>347</v>
      </c>
      <c r="C10" s="6">
        <v>-345</v>
      </c>
      <c r="D10" s="6">
        <v>-2380</v>
      </c>
      <c r="E10" s="6">
        <v>-3180</v>
      </c>
      <c r="F10" s="6">
        <v>-1021</v>
      </c>
      <c r="G10" s="6">
        <v>-309</v>
      </c>
    </row>
    <row r="11" spans="1:8" x14ac:dyDescent="0.25">
      <c r="A11" s="3" t="s">
        <v>10</v>
      </c>
      <c r="B11" s="4">
        <v>3426</v>
      </c>
      <c r="C11" s="4">
        <v>2170</v>
      </c>
      <c r="D11" s="4">
        <v>1250</v>
      </c>
      <c r="E11" s="4">
        <v>1176</v>
      </c>
      <c r="F11" s="4">
        <v>1401</v>
      </c>
      <c r="G11" s="4">
        <v>1418</v>
      </c>
    </row>
    <row r="12" spans="1:8" x14ac:dyDescent="0.25">
      <c r="A12" s="5" t="s">
        <v>11</v>
      </c>
      <c r="B12" s="6">
        <v>5070</v>
      </c>
      <c r="C12" s="6">
        <v>5102</v>
      </c>
      <c r="D12" s="6">
        <v>4420</v>
      </c>
      <c r="E12" s="6">
        <v>4784</v>
      </c>
      <c r="F12" s="6">
        <v>5497</v>
      </c>
      <c r="G12" s="6">
        <v>5607</v>
      </c>
    </row>
    <row r="13" spans="1:8" x14ac:dyDescent="0.25">
      <c r="A13" s="3" t="s">
        <v>12</v>
      </c>
      <c r="B13" s="4">
        <v>4798</v>
      </c>
      <c r="C13" s="4">
        <v>4830</v>
      </c>
      <c r="D13" s="4">
        <v>4322</v>
      </c>
      <c r="E13" s="4">
        <v>5609</v>
      </c>
      <c r="F13" s="4">
        <v>12462</v>
      </c>
      <c r="G13" s="4">
        <v>6975</v>
      </c>
    </row>
    <row r="14" spans="1:8" x14ac:dyDescent="0.25">
      <c r="A14" s="7" t="s">
        <v>13</v>
      </c>
      <c r="B14" s="8">
        <f t="shared" ref="B14:G14" si="0">SUM(B5:B13)</f>
        <v>61743</v>
      </c>
      <c r="C14" s="8">
        <f t="shared" si="0"/>
        <v>69338</v>
      </c>
      <c r="D14" s="8">
        <f t="shared" si="0"/>
        <v>61985</v>
      </c>
      <c r="E14" s="8">
        <f t="shared" si="0"/>
        <v>68837</v>
      </c>
      <c r="F14" s="8">
        <f t="shared" si="0"/>
        <v>84973</v>
      </c>
      <c r="G14" s="8">
        <f t="shared" si="0"/>
        <v>87004</v>
      </c>
    </row>
    <row r="15" spans="1:8" x14ac:dyDescent="0.25">
      <c r="A15" s="3" t="s">
        <v>14</v>
      </c>
      <c r="B15" s="4">
        <v>68022</v>
      </c>
      <c r="C15" s="4">
        <v>57133</v>
      </c>
      <c r="D15" s="4">
        <v>92807</v>
      </c>
      <c r="E15" s="4">
        <v>170588</v>
      </c>
      <c r="F15" s="4">
        <v>193933</v>
      </c>
      <c r="G15" s="4">
        <v>211184</v>
      </c>
    </row>
    <row r="16" spans="1:8" x14ac:dyDescent="0.25">
      <c r="A16" s="5" t="s">
        <v>15</v>
      </c>
      <c r="B16" s="6">
        <v>12724</v>
      </c>
      <c r="C16" s="6">
        <v>4822</v>
      </c>
      <c r="D16" s="6">
        <v>26097</v>
      </c>
      <c r="E16" s="6">
        <v>81321</v>
      </c>
      <c r="F16" s="6">
        <v>101350</v>
      </c>
      <c r="G16" s="6">
        <v>115741</v>
      </c>
    </row>
    <row r="17" spans="1:8" x14ac:dyDescent="0.25">
      <c r="A17" s="7" t="s">
        <v>16</v>
      </c>
      <c r="B17" s="8">
        <f t="shared" ref="B17:G17" si="1">B15-B16</f>
        <v>55298</v>
      </c>
      <c r="C17" s="8">
        <f t="shared" si="1"/>
        <v>52311</v>
      </c>
      <c r="D17" s="8">
        <f t="shared" si="1"/>
        <v>66710</v>
      </c>
      <c r="E17" s="8">
        <f t="shared" si="1"/>
        <v>89267</v>
      </c>
      <c r="F17" s="8">
        <f t="shared" si="1"/>
        <v>92583</v>
      </c>
      <c r="G17" s="8">
        <f t="shared" si="1"/>
        <v>95443</v>
      </c>
    </row>
    <row r="18" spans="1:8" x14ac:dyDescent="0.25">
      <c r="A18" s="7" t="s">
        <v>17</v>
      </c>
      <c r="B18" s="8">
        <v>119543</v>
      </c>
      <c r="C18" s="8">
        <v>121649</v>
      </c>
      <c r="D18" s="8">
        <v>128695</v>
      </c>
      <c r="E18" s="8">
        <v>158104</v>
      </c>
      <c r="F18" s="8">
        <v>177556</v>
      </c>
      <c r="G18" s="8">
        <v>182447</v>
      </c>
    </row>
    <row r="19" spans="1:8" ht="18" customHeight="1" x14ac:dyDescent="0.25">
      <c r="A19" s="51" t="s">
        <v>18</v>
      </c>
      <c r="B19" s="51"/>
      <c r="C19" s="51"/>
      <c r="D19" s="51"/>
      <c r="E19" s="51"/>
      <c r="F19" s="51"/>
      <c r="G19" s="51"/>
      <c r="H19" s="51"/>
    </row>
    <row r="20" spans="1:8" x14ac:dyDescent="0.25">
      <c r="A20" s="5" t="s">
        <v>19</v>
      </c>
      <c r="B20" s="6">
        <v>17480</v>
      </c>
      <c r="C20" s="6">
        <v>-9256</v>
      </c>
      <c r="D20" s="6">
        <v>6389</v>
      </c>
      <c r="E20" s="6">
        <v>9320</v>
      </c>
      <c r="F20" s="6">
        <v>10678</v>
      </c>
      <c r="G20" s="6">
        <v>14212</v>
      </c>
    </row>
    <row r="21" spans="1:8" x14ac:dyDescent="0.25">
      <c r="A21" s="3" t="s">
        <v>20</v>
      </c>
      <c r="B21" s="4">
        <v>37499</v>
      </c>
      <c r="C21" s="4">
        <v>40388</v>
      </c>
      <c r="D21" s="4">
        <v>41636</v>
      </c>
      <c r="E21" s="4">
        <v>46465</v>
      </c>
      <c r="F21" s="4">
        <v>51357</v>
      </c>
      <c r="G21" s="4">
        <v>54234</v>
      </c>
    </row>
    <row r="22" spans="1:8" x14ac:dyDescent="0.25">
      <c r="A22" s="5" t="s">
        <v>21</v>
      </c>
      <c r="B22" s="6">
        <v>4355</v>
      </c>
      <c r="C22" s="6">
        <v>4262</v>
      </c>
      <c r="D22" s="6">
        <v>4696</v>
      </c>
      <c r="E22" s="6">
        <v>4590</v>
      </c>
      <c r="F22" s="6">
        <v>5026</v>
      </c>
      <c r="G22" s="6">
        <v>5251</v>
      </c>
    </row>
    <row r="23" spans="1:8" x14ac:dyDescent="0.25">
      <c r="A23" s="3" t="s">
        <v>22</v>
      </c>
      <c r="B23" s="4">
        <v>9028</v>
      </c>
      <c r="C23" s="4">
        <v>9116</v>
      </c>
      <c r="D23" s="4">
        <v>9358</v>
      </c>
      <c r="E23" s="4">
        <v>9246</v>
      </c>
      <c r="F23" s="4">
        <v>9831</v>
      </c>
      <c r="G23" s="4">
        <v>10456</v>
      </c>
    </row>
    <row r="24" spans="1:8" x14ac:dyDescent="0.25">
      <c r="A24" s="5" t="s">
        <v>23</v>
      </c>
      <c r="B24" s="6">
        <v>7697</v>
      </c>
      <c r="C24" s="6">
        <v>8140</v>
      </c>
      <c r="D24" s="6">
        <v>9012</v>
      </c>
      <c r="E24" s="6">
        <v>10235</v>
      </c>
      <c r="F24" s="6">
        <v>11057</v>
      </c>
      <c r="G24" s="6">
        <v>11384</v>
      </c>
    </row>
    <row r="25" spans="1:8" x14ac:dyDescent="0.25">
      <c r="A25" s="3" t="s">
        <v>24</v>
      </c>
      <c r="B25" s="4">
        <v>2780</v>
      </c>
      <c r="C25" s="4">
        <v>3302</v>
      </c>
      <c r="D25" s="4">
        <v>3250</v>
      </c>
      <c r="E25" s="4">
        <v>3355</v>
      </c>
      <c r="F25" s="4">
        <v>3791</v>
      </c>
      <c r="G25" s="4">
        <v>3943</v>
      </c>
    </row>
    <row r="26" spans="1:8" x14ac:dyDescent="0.25">
      <c r="A26" s="5" t="s">
        <v>25</v>
      </c>
      <c r="B26" s="6">
        <v>5297</v>
      </c>
      <c r="C26" s="6">
        <v>6135</v>
      </c>
      <c r="D26" s="6">
        <v>8188</v>
      </c>
      <c r="E26" s="6">
        <v>13281</v>
      </c>
      <c r="F26" s="6">
        <v>10735</v>
      </c>
      <c r="G26" s="6">
        <v>10372</v>
      </c>
    </row>
    <row r="27" spans="1:8" x14ac:dyDescent="0.25">
      <c r="A27" s="7" t="s">
        <v>26</v>
      </c>
      <c r="B27" s="8">
        <v>66656</v>
      </c>
      <c r="C27" s="8">
        <v>71343</v>
      </c>
      <c r="D27" s="8">
        <v>76140</v>
      </c>
      <c r="E27" s="8">
        <v>87172</v>
      </c>
      <c r="F27" s="8">
        <v>91797</v>
      </c>
      <c r="G27" s="8">
        <v>95640</v>
      </c>
    </row>
    <row r="28" spans="1:8" x14ac:dyDescent="0.25">
      <c r="A28" s="7" t="s">
        <v>27</v>
      </c>
      <c r="B28" s="8">
        <f t="shared" ref="B28:G28" si="2">B18-B20</f>
        <v>102063</v>
      </c>
      <c r="C28" s="8">
        <f t="shared" si="2"/>
        <v>130905</v>
      </c>
      <c r="D28" s="8">
        <f t="shared" si="2"/>
        <v>122306</v>
      </c>
      <c r="E28" s="8">
        <f t="shared" si="2"/>
        <v>148784</v>
      </c>
      <c r="F28" s="8">
        <f t="shared" si="2"/>
        <v>166878</v>
      </c>
      <c r="G28" s="8">
        <f t="shared" si="2"/>
        <v>168235</v>
      </c>
    </row>
    <row r="29" spans="1:8" x14ac:dyDescent="0.25">
      <c r="A29" s="7" t="s">
        <v>28</v>
      </c>
      <c r="B29" s="8">
        <f t="shared" ref="B29:G29" si="3">B28-B27+B20</f>
        <v>52887</v>
      </c>
      <c r="C29" s="8">
        <f t="shared" si="3"/>
        <v>50306</v>
      </c>
      <c r="D29" s="8">
        <f t="shared" si="3"/>
        <v>52555</v>
      </c>
      <c r="E29" s="8">
        <f t="shared" si="3"/>
        <v>70932</v>
      </c>
      <c r="F29" s="8">
        <f t="shared" si="3"/>
        <v>85759</v>
      </c>
      <c r="G29" s="8">
        <f t="shared" si="3"/>
        <v>86807</v>
      </c>
    </row>
    <row r="30" spans="1:8" x14ac:dyDescent="0.25">
      <c r="A30" s="5" t="s">
        <v>29</v>
      </c>
      <c r="B30" s="6">
        <v>5640</v>
      </c>
      <c r="C30" s="6">
        <v>6032</v>
      </c>
      <c r="D30" s="6">
        <v>6671</v>
      </c>
      <c r="E30" s="6">
        <v>8490</v>
      </c>
      <c r="F30" s="6">
        <v>10756</v>
      </c>
      <c r="G30" s="6">
        <v>11027</v>
      </c>
    </row>
    <row r="31" spans="1:8" x14ac:dyDescent="0.25">
      <c r="A31" s="7" t="s">
        <v>30</v>
      </c>
      <c r="B31" s="8">
        <v>29131</v>
      </c>
      <c r="C31" s="8">
        <v>48334</v>
      </c>
      <c r="D31" s="8">
        <v>37676</v>
      </c>
      <c r="E31" s="8">
        <v>49552</v>
      </c>
      <c r="F31" s="8">
        <v>58471</v>
      </c>
      <c r="G31" s="8">
        <v>57048</v>
      </c>
    </row>
    <row r="32" spans="1:8" ht="18" customHeight="1" x14ac:dyDescent="0.25">
      <c r="A32" s="51" t="s">
        <v>31</v>
      </c>
      <c r="B32" s="51"/>
      <c r="C32" s="51"/>
      <c r="D32" s="51"/>
      <c r="E32" s="51"/>
      <c r="F32" s="51"/>
      <c r="G32" s="51"/>
      <c r="H32" s="51"/>
    </row>
    <row r="33" spans="1:8" x14ac:dyDescent="0.25">
      <c r="A33" s="3" t="s">
        <v>32</v>
      </c>
      <c r="B33" s="9">
        <v>8.8800000000000008</v>
      </c>
      <c r="C33" s="9">
        <v>15.36</v>
      </c>
      <c r="D33" s="9">
        <v>12.09</v>
      </c>
      <c r="E33" s="9">
        <v>16.23</v>
      </c>
      <c r="F33" s="9">
        <v>19.75</v>
      </c>
      <c r="G33" s="9">
        <v>20.02</v>
      </c>
    </row>
    <row r="34" spans="1:8" x14ac:dyDescent="0.25">
      <c r="A34" s="5" t="s">
        <v>33</v>
      </c>
      <c r="B34" s="10">
        <v>81.75</v>
      </c>
      <c r="C34" s="10">
        <v>88.07</v>
      </c>
      <c r="D34" s="10">
        <v>90.29</v>
      </c>
      <c r="E34" s="10">
        <v>104.45</v>
      </c>
      <c r="F34" s="10">
        <v>116.07</v>
      </c>
      <c r="G34" s="10">
        <v>126.99</v>
      </c>
    </row>
    <row r="35" spans="1:8" x14ac:dyDescent="0.25">
      <c r="A35" s="3" t="s">
        <v>34</v>
      </c>
      <c r="B35" s="9">
        <v>66.11</v>
      </c>
      <c r="C35" s="9">
        <v>71.53</v>
      </c>
      <c r="D35" s="9">
        <v>73.12</v>
      </c>
      <c r="E35" s="9">
        <v>86.08</v>
      </c>
      <c r="F35" s="9">
        <v>97.3</v>
      </c>
      <c r="G35" s="9">
        <v>107.56</v>
      </c>
    </row>
    <row r="37" spans="1:8" x14ac:dyDescent="0.25">
      <c r="A37" s="48" t="s">
        <v>35</v>
      </c>
      <c r="B37" s="48"/>
      <c r="C37" s="48"/>
      <c r="D37" s="48"/>
      <c r="E37" s="48"/>
      <c r="F37" s="48"/>
      <c r="G37" s="48"/>
      <c r="H37" s="48"/>
    </row>
    <row r="38" spans="1:8" x14ac:dyDescent="0.25">
      <c r="A38" s="48" t="s">
        <v>36</v>
      </c>
      <c r="B38" s="48"/>
      <c r="C38" s="48"/>
      <c r="D38" s="48"/>
      <c r="E38" s="48"/>
      <c r="F38" s="48"/>
      <c r="G38" s="48"/>
      <c r="H38" s="48"/>
    </row>
  </sheetData>
  <mergeCells count="7">
    <mergeCell ref="A37:H37"/>
    <mergeCell ref="A38:H38"/>
    <mergeCell ref="A1:H1"/>
    <mergeCell ref="A2:H2"/>
    <mergeCell ref="A4:H4"/>
    <mergeCell ref="A19:H19"/>
    <mergeCell ref="A32:H3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zoomScaleNormal="100" workbookViewId="0">
      <selection sqref="A1:H1"/>
    </sheetView>
  </sheetViews>
  <sheetFormatPr defaultColWidth="8.7109375" defaultRowHeight="15" x14ac:dyDescent="0.25"/>
  <cols>
    <col min="1" max="1" width="42" customWidth="1"/>
    <col min="2" max="8" width="16" customWidth="1"/>
  </cols>
  <sheetData>
    <row r="1" spans="1:8" ht="27.75" customHeight="1" x14ac:dyDescent="0.25">
      <c r="A1" s="49" t="s">
        <v>70</v>
      </c>
      <c r="B1" s="49"/>
      <c r="C1" s="49"/>
      <c r="D1" s="49"/>
      <c r="E1" s="49"/>
      <c r="F1" s="49"/>
      <c r="G1" s="49"/>
      <c r="H1" s="49"/>
    </row>
    <row r="2" spans="1:8" x14ac:dyDescent="0.25">
      <c r="A2" s="50" t="s">
        <v>1</v>
      </c>
      <c r="B2" s="50"/>
      <c r="C2" s="50"/>
      <c r="D2" s="50"/>
      <c r="E2" s="50"/>
      <c r="F2" s="50"/>
      <c r="G2" s="50"/>
      <c r="H2" s="50"/>
    </row>
    <row r="3" spans="1:8" ht="19.5" customHeight="1" x14ac:dyDescent="0.25">
      <c r="A3" s="1" t="s">
        <v>71</v>
      </c>
      <c r="B3" s="2">
        <v>2020</v>
      </c>
      <c r="C3" s="2">
        <v>2021</v>
      </c>
      <c r="D3" s="2">
        <v>2022</v>
      </c>
      <c r="E3" s="2">
        <v>2023</v>
      </c>
      <c r="F3" s="2">
        <v>2024</v>
      </c>
      <c r="G3" s="2">
        <v>2025</v>
      </c>
    </row>
    <row r="4" spans="1:8" ht="18" customHeight="1" x14ac:dyDescent="0.25">
      <c r="A4" s="51" t="s">
        <v>72</v>
      </c>
      <c r="B4" s="51"/>
      <c r="C4" s="51"/>
      <c r="D4" s="51"/>
      <c r="E4" s="51"/>
      <c r="F4" s="51"/>
      <c r="G4" s="51"/>
      <c r="H4" s="51"/>
    </row>
    <row r="5" spans="1:8" x14ac:dyDescent="0.25">
      <c r="A5" s="3" t="s">
        <v>73</v>
      </c>
      <c r="B5" s="4">
        <v>666747</v>
      </c>
      <c r="C5" s="4">
        <v>728730</v>
      </c>
      <c r="D5" s="4">
        <v>683936</v>
      </c>
      <c r="E5" s="4">
        <v>624151</v>
      </c>
      <c r="F5" s="4">
        <v>469317</v>
      </c>
      <c r="G5" s="4">
        <v>520498</v>
      </c>
    </row>
    <row r="6" spans="1:8" x14ac:dyDescent="0.25">
      <c r="A6" s="5" t="s">
        <v>74</v>
      </c>
      <c r="B6" s="6">
        <v>606383</v>
      </c>
      <c r="C6" s="6">
        <v>635064</v>
      </c>
      <c r="D6" s="6">
        <v>538834</v>
      </c>
      <c r="E6" s="6">
        <v>571552</v>
      </c>
      <c r="F6" s="6">
        <v>681320</v>
      </c>
      <c r="G6" s="6">
        <v>702891</v>
      </c>
    </row>
    <row r="7" spans="1:8" x14ac:dyDescent="0.25">
      <c r="A7" s="3" t="s">
        <v>75</v>
      </c>
      <c r="B7" s="4">
        <v>1011882</v>
      </c>
      <c r="C7" s="4">
        <v>1077714</v>
      </c>
      <c r="D7" s="4">
        <v>1135647</v>
      </c>
      <c r="E7" s="4">
        <v>1323706</v>
      </c>
      <c r="F7" s="4">
        <v>1347988</v>
      </c>
      <c r="G7" s="4">
        <v>1402311</v>
      </c>
    </row>
    <row r="8" spans="1:8" x14ac:dyDescent="0.25">
      <c r="A8" s="5" t="s">
        <v>76</v>
      </c>
      <c r="B8" s="6">
        <v>-19044</v>
      </c>
      <c r="C8" s="6">
        <v>-16383</v>
      </c>
      <c r="D8" s="6">
        <v>-17740</v>
      </c>
      <c r="E8" s="6">
        <v>-22420</v>
      </c>
      <c r="F8" s="6">
        <v>-24345</v>
      </c>
      <c r="G8" s="6">
        <v>-26890</v>
      </c>
    </row>
    <row r="9" spans="1:8" x14ac:dyDescent="0.25">
      <c r="A9" s="3" t="s">
        <v>77</v>
      </c>
      <c r="B9" s="4">
        <v>992838</v>
      </c>
      <c r="C9" s="4">
        <v>1061331</v>
      </c>
      <c r="D9" s="4">
        <v>1117907</v>
      </c>
      <c r="E9" s="4">
        <v>1301286</v>
      </c>
      <c r="F9" s="4">
        <v>1323643</v>
      </c>
      <c r="G9" s="4">
        <v>1375421</v>
      </c>
    </row>
    <row r="10" spans="1:8" x14ac:dyDescent="0.25">
      <c r="A10" s="5" t="s">
        <v>78</v>
      </c>
      <c r="B10" s="6">
        <v>491728</v>
      </c>
      <c r="C10" s="6">
        <v>478547</v>
      </c>
      <c r="D10" s="6">
        <v>482963</v>
      </c>
      <c r="E10" s="6">
        <v>540607</v>
      </c>
      <c r="F10" s="6">
        <v>637784</v>
      </c>
      <c r="G10" s="6">
        <v>681234</v>
      </c>
    </row>
    <row r="11" spans="1:8" x14ac:dyDescent="0.25">
      <c r="A11" s="3" t="s">
        <v>79</v>
      </c>
      <c r="B11" s="4">
        <v>3384757</v>
      </c>
      <c r="C11" s="4">
        <v>3743567</v>
      </c>
      <c r="D11" s="4">
        <v>3665743</v>
      </c>
      <c r="E11" s="4">
        <v>3875393</v>
      </c>
      <c r="F11" s="4">
        <v>4000272</v>
      </c>
      <c r="G11" s="4">
        <v>4187248</v>
      </c>
    </row>
    <row r="12" spans="1:8" ht="18" customHeight="1" x14ac:dyDescent="0.25">
      <c r="A12" s="51" t="s">
        <v>80</v>
      </c>
      <c r="B12" s="51"/>
      <c r="C12" s="51"/>
      <c r="D12" s="51"/>
      <c r="E12" s="51"/>
      <c r="F12" s="51"/>
      <c r="G12" s="51"/>
      <c r="H12" s="51"/>
    </row>
    <row r="13" spans="1:8" x14ac:dyDescent="0.25">
      <c r="A13" s="3" t="s">
        <v>81</v>
      </c>
      <c r="B13" s="4">
        <v>2242093</v>
      </c>
      <c r="C13" s="4">
        <v>2462303</v>
      </c>
      <c r="D13" s="4">
        <v>2340179</v>
      </c>
      <c r="E13" s="4">
        <v>2395907</v>
      </c>
      <c r="F13" s="4">
        <v>2401637</v>
      </c>
      <c r="G13" s="4">
        <v>2496781</v>
      </c>
    </row>
    <row r="14" spans="1:8" x14ac:dyDescent="0.25">
      <c r="A14" s="5" t="s">
        <v>82</v>
      </c>
      <c r="B14" s="6">
        <v>248083</v>
      </c>
      <c r="C14" s="6">
        <v>218456</v>
      </c>
      <c r="D14" s="6">
        <v>328081</v>
      </c>
      <c r="E14" s="6">
        <v>427547</v>
      </c>
      <c r="F14" s="6">
        <v>381956</v>
      </c>
      <c r="G14" s="6">
        <v>398234</v>
      </c>
    </row>
    <row r="15" spans="1:8" x14ac:dyDescent="0.25">
      <c r="A15" s="3" t="s">
        <v>83</v>
      </c>
      <c r="B15" s="4">
        <v>297473</v>
      </c>
      <c r="C15" s="4">
        <v>294908</v>
      </c>
      <c r="D15" s="4">
        <v>296927</v>
      </c>
      <c r="E15" s="4">
        <v>302404</v>
      </c>
      <c r="F15" s="4">
        <v>340614</v>
      </c>
      <c r="G15" s="4">
        <v>371289</v>
      </c>
    </row>
    <row r="16" spans="1:8" x14ac:dyDescent="0.25">
      <c r="A16" s="5" t="s">
        <v>84</v>
      </c>
      <c r="B16" s="6">
        <v>3126627</v>
      </c>
      <c r="C16" s="6">
        <v>3453282</v>
      </c>
      <c r="D16" s="6">
        <v>3379726</v>
      </c>
      <c r="E16" s="6">
        <v>3574148</v>
      </c>
      <c r="F16" s="6">
        <v>3698372</v>
      </c>
      <c r="G16" s="6">
        <v>3872541</v>
      </c>
    </row>
    <row r="17" spans="1:8" ht="18" customHeight="1" x14ac:dyDescent="0.25">
      <c r="A17" s="51" t="s">
        <v>85</v>
      </c>
      <c r="B17" s="51"/>
      <c r="C17" s="51"/>
      <c r="D17" s="51"/>
      <c r="E17" s="51"/>
      <c r="F17" s="51"/>
      <c r="G17" s="51"/>
      <c r="H17" s="51"/>
    </row>
    <row r="18" spans="1:8" x14ac:dyDescent="0.25">
      <c r="A18" s="5" t="s">
        <v>86</v>
      </c>
      <c r="B18" s="6">
        <v>258225</v>
      </c>
      <c r="C18" s="6">
        <v>290285</v>
      </c>
      <c r="D18" s="6">
        <v>285747</v>
      </c>
      <c r="E18" s="6">
        <v>301245</v>
      </c>
      <c r="F18" s="6">
        <v>301900</v>
      </c>
      <c r="G18" s="6">
        <v>314707</v>
      </c>
    </row>
    <row r="19" spans="1:8" x14ac:dyDescent="0.25">
      <c r="A19" s="3" t="s">
        <v>87</v>
      </c>
      <c r="B19" s="4">
        <v>3085</v>
      </c>
      <c r="C19" s="4">
        <v>3058</v>
      </c>
      <c r="D19" s="4">
        <v>2933</v>
      </c>
      <c r="E19" s="4">
        <v>2904</v>
      </c>
      <c r="F19" s="4">
        <v>2862</v>
      </c>
      <c r="G19" s="4">
        <v>2839</v>
      </c>
    </row>
    <row r="20" spans="1:8" ht="18" customHeight="1" x14ac:dyDescent="0.25">
      <c r="A20" s="51" t="s">
        <v>88</v>
      </c>
      <c r="B20" s="51"/>
      <c r="C20" s="51"/>
      <c r="D20" s="51"/>
      <c r="E20" s="51"/>
      <c r="F20" s="51"/>
      <c r="G20" s="51"/>
      <c r="H20" s="51"/>
    </row>
    <row r="21" spans="1:8" x14ac:dyDescent="0.25">
      <c r="A21" s="3" t="s">
        <v>89</v>
      </c>
      <c r="B21" s="4">
        <v>458389</v>
      </c>
      <c r="C21" s="4">
        <v>462098</v>
      </c>
      <c r="D21" s="4">
        <v>463765</v>
      </c>
      <c r="E21" s="4">
        <v>410093</v>
      </c>
      <c r="F21" s="4">
        <v>392810</v>
      </c>
      <c r="G21" s="4">
        <v>381234</v>
      </c>
    </row>
    <row r="22" spans="1:8" x14ac:dyDescent="0.25">
      <c r="A22" s="5" t="s">
        <v>90</v>
      </c>
      <c r="B22" s="6">
        <v>157278</v>
      </c>
      <c r="C22" s="6">
        <v>170268</v>
      </c>
      <c r="D22" s="6">
        <v>181019</v>
      </c>
      <c r="E22" s="6">
        <v>211123</v>
      </c>
      <c r="F22" s="6">
        <v>232860</v>
      </c>
      <c r="G22" s="6">
        <v>249832</v>
      </c>
    </row>
    <row r="23" spans="1:8" x14ac:dyDescent="0.25">
      <c r="A23" s="3" t="s">
        <v>91</v>
      </c>
      <c r="B23" s="4">
        <v>396215</v>
      </c>
      <c r="C23" s="4">
        <v>445348</v>
      </c>
      <c r="D23" s="4">
        <v>490863</v>
      </c>
      <c r="E23" s="4">
        <v>702490</v>
      </c>
      <c r="F23" s="4">
        <v>722318</v>
      </c>
      <c r="G23" s="4">
        <v>771245</v>
      </c>
    </row>
    <row r="24" spans="1:8" ht="18" customHeight="1" x14ac:dyDescent="0.25">
      <c r="A24" s="51" t="s">
        <v>51</v>
      </c>
      <c r="B24" s="51"/>
      <c r="C24" s="51"/>
      <c r="D24" s="51"/>
      <c r="E24" s="51"/>
      <c r="F24" s="51"/>
      <c r="G24" s="51"/>
      <c r="H24" s="51"/>
    </row>
    <row r="25" spans="1:8" x14ac:dyDescent="0.25">
      <c r="A25" s="3" t="s">
        <v>92</v>
      </c>
      <c r="B25" s="4">
        <v>19044</v>
      </c>
      <c r="C25" s="4">
        <v>16383</v>
      </c>
      <c r="D25" s="4">
        <v>17740</v>
      </c>
      <c r="E25" s="4">
        <v>22420</v>
      </c>
      <c r="F25" s="4">
        <v>24345</v>
      </c>
      <c r="G25" s="4">
        <v>26890</v>
      </c>
    </row>
    <row r="26" spans="1:8" x14ac:dyDescent="0.25">
      <c r="A26" s="5" t="s">
        <v>93</v>
      </c>
      <c r="B26" s="21">
        <f t="shared" ref="B26:G26" si="0">B25/B7</f>
        <v>1.8820376288934876E-2</v>
      </c>
      <c r="C26" s="21">
        <f t="shared" si="0"/>
        <v>1.5201621209337542E-2</v>
      </c>
      <c r="D26" s="21">
        <f t="shared" si="0"/>
        <v>1.5621051259766459E-2</v>
      </c>
      <c r="E26" s="21">
        <f t="shared" si="0"/>
        <v>1.6937295743918966E-2</v>
      </c>
      <c r="F26" s="21">
        <f t="shared" si="0"/>
        <v>1.8060249794508557E-2</v>
      </c>
      <c r="G26" s="21">
        <f t="shared" si="0"/>
        <v>1.9175489602520412E-2</v>
      </c>
    </row>
    <row r="27" spans="1:8" x14ac:dyDescent="0.25">
      <c r="A27" s="3" t="s">
        <v>94</v>
      </c>
      <c r="B27" s="4">
        <v>5572</v>
      </c>
      <c r="C27" s="4">
        <v>2904</v>
      </c>
      <c r="D27" s="4">
        <v>2895</v>
      </c>
      <c r="E27" s="4">
        <v>6374</v>
      </c>
      <c r="F27" s="4">
        <v>8638</v>
      </c>
      <c r="G27" s="4">
        <v>10934</v>
      </c>
    </row>
    <row r="28" spans="1:8" x14ac:dyDescent="0.25">
      <c r="A28" s="5" t="s">
        <v>95</v>
      </c>
      <c r="B28" s="21">
        <f t="shared" ref="B28:G28" si="1">B27/B7</f>
        <v>5.5065709242777322E-3</v>
      </c>
      <c r="C28" s="21">
        <f t="shared" si="1"/>
        <v>2.6945924428930126E-3</v>
      </c>
      <c r="D28" s="21">
        <f t="shared" si="1"/>
        <v>2.5492076323012343E-3</v>
      </c>
      <c r="E28" s="21">
        <f t="shared" si="1"/>
        <v>4.8152686472675956E-3</v>
      </c>
      <c r="F28" s="21">
        <f t="shared" si="1"/>
        <v>6.4080689145600703E-3</v>
      </c>
      <c r="G28" s="21">
        <f t="shared" si="1"/>
        <v>7.7971291674956552E-3</v>
      </c>
    </row>
    <row r="30" spans="1:8" x14ac:dyDescent="0.25">
      <c r="A30" s="48" t="s">
        <v>35</v>
      </c>
      <c r="B30" s="48"/>
      <c r="C30" s="48"/>
      <c r="D30" s="48"/>
      <c r="E30" s="48"/>
      <c r="F30" s="48"/>
      <c r="G30" s="48"/>
      <c r="H30" s="48"/>
    </row>
    <row r="31" spans="1:8" x14ac:dyDescent="0.25">
      <c r="A31" s="52" t="s">
        <v>96</v>
      </c>
      <c r="B31" s="52"/>
      <c r="C31" s="52"/>
      <c r="D31" s="52"/>
      <c r="E31" s="52"/>
      <c r="F31" s="52"/>
      <c r="G31" s="52"/>
      <c r="H31" s="52"/>
    </row>
  </sheetData>
  <mergeCells count="9">
    <mergeCell ref="A20:H20"/>
    <mergeCell ref="A24:H24"/>
    <mergeCell ref="A30:H30"/>
    <mergeCell ref="A31:H31"/>
    <mergeCell ref="A1:H1"/>
    <mergeCell ref="A2:H2"/>
    <mergeCell ref="A4:H4"/>
    <mergeCell ref="A12:H12"/>
    <mergeCell ref="A17:H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topLeftCell="A5" zoomScaleNormal="100" workbookViewId="0">
      <selection sqref="A1:H1"/>
    </sheetView>
  </sheetViews>
  <sheetFormatPr defaultColWidth="8.7109375" defaultRowHeight="15" x14ac:dyDescent="0.25"/>
  <cols>
    <col min="1" max="1" width="42" customWidth="1"/>
    <col min="2" max="8" width="16" customWidth="1"/>
  </cols>
  <sheetData>
    <row r="1" spans="1:8" ht="27.75" customHeight="1" x14ac:dyDescent="0.25">
      <c r="A1" s="49" t="s">
        <v>37</v>
      </c>
      <c r="B1" s="49"/>
      <c r="C1" s="49"/>
      <c r="D1" s="49"/>
      <c r="E1" s="49"/>
      <c r="F1" s="49"/>
      <c r="G1" s="49"/>
      <c r="H1" s="49"/>
    </row>
    <row r="2" spans="1:8" x14ac:dyDescent="0.25">
      <c r="A2" s="50" t="s">
        <v>38</v>
      </c>
      <c r="B2" s="50"/>
      <c r="C2" s="50"/>
      <c r="D2" s="50"/>
      <c r="E2" s="50"/>
      <c r="F2" s="50"/>
      <c r="G2" s="50"/>
      <c r="H2" s="50"/>
    </row>
    <row r="3" spans="1:8" ht="19.5" customHeight="1" x14ac:dyDescent="0.25">
      <c r="A3" s="1" t="s">
        <v>39</v>
      </c>
      <c r="B3" s="2">
        <v>2020</v>
      </c>
      <c r="C3" s="2">
        <v>2021</v>
      </c>
      <c r="D3" s="2">
        <v>2022</v>
      </c>
      <c r="E3" s="2">
        <v>2023</v>
      </c>
      <c r="F3" s="2">
        <v>2024</v>
      </c>
      <c r="G3" s="2">
        <v>2025</v>
      </c>
    </row>
    <row r="4" spans="1:8" ht="18" customHeight="1" x14ac:dyDescent="0.25">
      <c r="A4" s="51" t="s">
        <v>40</v>
      </c>
      <c r="B4" s="51"/>
      <c r="C4" s="51"/>
      <c r="D4" s="51"/>
      <c r="E4" s="51"/>
      <c r="F4" s="51"/>
      <c r="G4" s="51"/>
      <c r="H4" s="51"/>
    </row>
    <row r="5" spans="1:8" x14ac:dyDescent="0.25">
      <c r="A5" s="3" t="s">
        <v>41</v>
      </c>
      <c r="B5" s="11">
        <v>0.12</v>
      </c>
      <c r="C5" s="11">
        <v>0.19</v>
      </c>
      <c r="D5" s="11">
        <v>0.14000000000000001</v>
      </c>
      <c r="E5" s="11">
        <v>0.17</v>
      </c>
      <c r="F5" s="11">
        <v>0.18</v>
      </c>
      <c r="G5" s="11">
        <v>0.17</v>
      </c>
    </row>
    <row r="6" spans="1:8" x14ac:dyDescent="0.25">
      <c r="A6" s="5" t="s">
        <v>42</v>
      </c>
      <c r="B6" s="12">
        <v>0.14000000000000001</v>
      </c>
      <c r="C6" s="12">
        <v>0.23</v>
      </c>
      <c r="D6" s="12">
        <v>0.18</v>
      </c>
      <c r="E6" s="12">
        <v>0.21</v>
      </c>
      <c r="F6" s="12">
        <v>0.22</v>
      </c>
      <c r="G6" s="12">
        <v>0.2</v>
      </c>
    </row>
    <row r="7" spans="1:8" x14ac:dyDescent="0.25">
      <c r="A7" s="3" t="s">
        <v>43</v>
      </c>
      <c r="B7" s="13">
        <f>'Income Statement'!B31</f>
        <v>29131</v>
      </c>
      <c r="C7" s="13">
        <f>'Income Statement'!C31</f>
        <v>48334</v>
      </c>
      <c r="D7" s="13">
        <f>'Income Statement'!D31</f>
        <v>37676</v>
      </c>
      <c r="E7" s="13">
        <f>'Income Statement'!E31</f>
        <v>49552</v>
      </c>
      <c r="F7" s="13">
        <f>'Income Statement'!F31</f>
        <v>58471</v>
      </c>
      <c r="G7" s="13">
        <f>'Income Statement'!G31</f>
        <v>57048</v>
      </c>
    </row>
    <row r="8" spans="1:8" x14ac:dyDescent="0.25">
      <c r="A8" s="5" t="s">
        <v>44</v>
      </c>
      <c r="B8" s="14">
        <f>'Income Statement'!B18</f>
        <v>119543</v>
      </c>
      <c r="C8" s="14">
        <f>'Income Statement'!C18</f>
        <v>121649</v>
      </c>
      <c r="D8" s="14">
        <f>'Income Statement'!D18</f>
        <v>128695</v>
      </c>
      <c r="E8" s="14">
        <f>'Income Statement'!E18</f>
        <v>158104</v>
      </c>
      <c r="F8" s="14">
        <f>'Income Statement'!F18</f>
        <v>177556</v>
      </c>
      <c r="G8" s="14">
        <f>'Income Statement'!G18</f>
        <v>182447</v>
      </c>
    </row>
    <row r="9" spans="1:8" x14ac:dyDescent="0.25">
      <c r="A9" s="3" t="s">
        <v>45</v>
      </c>
      <c r="B9" s="15">
        <f>'Income Statement'!B31/'Income Statement'!B18</f>
        <v>0.24368637226771955</v>
      </c>
      <c r="C9" s="15">
        <f>'Income Statement'!C31/'Income Statement'!C18</f>
        <v>0.39732344696627181</v>
      </c>
      <c r="D9" s="15">
        <f>'Income Statement'!D31/'Income Statement'!D18</f>
        <v>0.29275418625432226</v>
      </c>
      <c r="E9" s="15">
        <f>'Income Statement'!E31/'Income Statement'!E18</f>
        <v>0.31341395537114808</v>
      </c>
      <c r="F9" s="15">
        <f>'Income Statement'!F31/'Income Statement'!F18</f>
        <v>0.32931018946135304</v>
      </c>
      <c r="G9" s="15">
        <f>'Income Statement'!G31/'Income Statement'!G18</f>
        <v>0.31268258727192005</v>
      </c>
    </row>
    <row r="10" spans="1:8" x14ac:dyDescent="0.25">
      <c r="A10" s="5" t="s">
        <v>46</v>
      </c>
      <c r="B10" s="14">
        <f>'Income Statement'!B28</f>
        <v>102063</v>
      </c>
      <c r="C10" s="14">
        <f>'Income Statement'!C28</f>
        <v>130905</v>
      </c>
      <c r="D10" s="14">
        <f>'Income Statement'!D28</f>
        <v>122306</v>
      </c>
      <c r="E10" s="14">
        <f>'Income Statement'!E28</f>
        <v>148784</v>
      </c>
      <c r="F10" s="14">
        <f>'Income Statement'!F28</f>
        <v>166878</v>
      </c>
      <c r="G10" s="14">
        <f>'Income Statement'!G28</f>
        <v>168235</v>
      </c>
    </row>
    <row r="11" spans="1:8" ht="18" customHeight="1" x14ac:dyDescent="0.25">
      <c r="A11" s="51" t="s">
        <v>47</v>
      </c>
      <c r="B11" s="51"/>
      <c r="C11" s="51"/>
      <c r="D11" s="51"/>
      <c r="E11" s="51"/>
      <c r="F11" s="51"/>
      <c r="G11" s="51"/>
      <c r="H11" s="51"/>
    </row>
    <row r="12" spans="1:8" x14ac:dyDescent="0.25">
      <c r="A12" s="5" t="s">
        <v>48</v>
      </c>
      <c r="B12" s="12">
        <v>0.13100000000000001</v>
      </c>
      <c r="C12" s="12">
        <v>0.13100000000000001</v>
      </c>
      <c r="D12" s="12">
        <v>0.13200000000000001</v>
      </c>
      <c r="E12" s="12">
        <v>0.15</v>
      </c>
      <c r="F12" s="12">
        <v>0.157</v>
      </c>
      <c r="G12" s="12">
        <v>0.14599999999999999</v>
      </c>
    </row>
    <row r="13" spans="1:8" x14ac:dyDescent="0.25">
      <c r="A13" s="3" t="s">
        <v>49</v>
      </c>
      <c r="B13" s="11">
        <v>0.15</v>
      </c>
      <c r="C13" s="11">
        <v>0.15</v>
      </c>
      <c r="D13" s="11">
        <v>0.14899999999999999</v>
      </c>
      <c r="E13" s="11">
        <v>0.16600000000000001</v>
      </c>
      <c r="F13" s="11">
        <v>0.16800000000000001</v>
      </c>
      <c r="G13" s="11">
        <v>0.155</v>
      </c>
    </row>
    <row r="14" spans="1:8" x14ac:dyDescent="0.25">
      <c r="A14" s="5" t="s">
        <v>50</v>
      </c>
      <c r="B14" s="12">
        <v>0.17299999999999999</v>
      </c>
      <c r="C14" s="12">
        <v>0.16800000000000001</v>
      </c>
      <c r="D14" s="12">
        <v>0.16800000000000001</v>
      </c>
      <c r="E14" s="12">
        <v>0.185</v>
      </c>
      <c r="F14" s="12">
        <v>0.185</v>
      </c>
      <c r="G14" s="12">
        <v>0.17399999999999999</v>
      </c>
    </row>
    <row r="15" spans="1:8" ht="18" customHeight="1" x14ac:dyDescent="0.25">
      <c r="A15" s="51" t="s">
        <v>51</v>
      </c>
      <c r="B15" s="51"/>
      <c r="C15" s="51"/>
      <c r="D15" s="51"/>
      <c r="E15" s="51"/>
      <c r="F15" s="51"/>
      <c r="G15" s="51"/>
      <c r="H15" s="51"/>
    </row>
    <row r="16" spans="1:8" x14ac:dyDescent="0.25">
      <c r="A16" s="5" t="s">
        <v>52</v>
      </c>
      <c r="B16" s="14">
        <f>'Income Statement'!B20</f>
        <v>17480</v>
      </c>
      <c r="C16" s="14">
        <f>'Income Statement'!C20</f>
        <v>-9256</v>
      </c>
      <c r="D16" s="14">
        <f>'Income Statement'!D20</f>
        <v>6389</v>
      </c>
      <c r="E16" s="14">
        <f>'Income Statement'!E20</f>
        <v>9320</v>
      </c>
      <c r="F16" s="14">
        <f>'Income Statement'!F20</f>
        <v>10678</v>
      </c>
      <c r="G16" s="14">
        <f>'Income Statement'!G20</f>
        <v>14212</v>
      </c>
    </row>
    <row r="17" spans="1:8" x14ac:dyDescent="0.25">
      <c r="A17" s="3" t="s">
        <v>53</v>
      </c>
      <c r="B17" s="15">
        <f>'Income Statement'!B20/'Income Statement'!B18</f>
        <v>0.14622353462770718</v>
      </c>
      <c r="C17" s="15">
        <f>'Income Statement'!C20/'Income Statement'!C18</f>
        <v>-7.6087760688538342E-2</v>
      </c>
      <c r="D17" s="15">
        <f>'Income Statement'!D20/'Income Statement'!D18</f>
        <v>4.9644508333657099E-2</v>
      </c>
      <c r="E17" s="15">
        <f>'Income Statement'!E20/'Income Statement'!E18</f>
        <v>5.8948540201386429E-2</v>
      </c>
      <c r="F17" s="15">
        <f>'Income Statement'!F20/'Income Statement'!F18</f>
        <v>6.0138773119466533E-2</v>
      </c>
      <c r="G17" s="15">
        <f>'Income Statement'!G20/'Income Statement'!G18</f>
        <v>7.7896594627480858E-2</v>
      </c>
    </row>
    <row r="18" spans="1:8" ht="18" customHeight="1" x14ac:dyDescent="0.25">
      <c r="A18" s="51" t="s">
        <v>54</v>
      </c>
      <c r="B18" s="51"/>
      <c r="C18" s="51"/>
      <c r="D18" s="51"/>
      <c r="E18" s="51"/>
      <c r="F18" s="51"/>
      <c r="G18" s="51"/>
      <c r="H18" s="51"/>
    </row>
    <row r="19" spans="1:8" x14ac:dyDescent="0.25">
      <c r="A19" s="3" t="s">
        <v>55</v>
      </c>
      <c r="B19" s="15">
        <f>'Income Statement'!B27/'Income Statement'!B18</f>
        <v>0.55759015584350402</v>
      </c>
      <c r="C19" s="15">
        <f>'Income Statement'!C27/'Income Statement'!C18</f>
        <v>0.5864659799916152</v>
      </c>
      <c r="D19" s="15">
        <f>'Income Statement'!D27/'Income Statement'!D18</f>
        <v>0.59163137651035391</v>
      </c>
      <c r="E19" s="15">
        <f>'Income Statement'!E27/'Income Statement'!E18</f>
        <v>0.55135859940292464</v>
      </c>
      <c r="F19" s="15">
        <f>'Income Statement'!F27/'Income Statement'!F18</f>
        <v>0.51700308635022185</v>
      </c>
      <c r="G19" s="15">
        <f>'Income Statement'!G27/'Income Statement'!G18</f>
        <v>0.5242070299867907</v>
      </c>
    </row>
    <row r="20" spans="1:8" x14ac:dyDescent="0.25">
      <c r="A20" s="5" t="s">
        <v>56</v>
      </c>
      <c r="B20" s="14">
        <f>'Income Statement'!B27</f>
        <v>66656</v>
      </c>
      <c r="C20" s="14">
        <f>'Income Statement'!C27</f>
        <v>71343</v>
      </c>
      <c r="D20" s="14">
        <f>'Income Statement'!D27</f>
        <v>76140</v>
      </c>
      <c r="E20" s="14">
        <f>'Income Statement'!E27</f>
        <v>87172</v>
      </c>
      <c r="F20" s="14">
        <f>'Income Statement'!F27</f>
        <v>91797</v>
      </c>
      <c r="G20" s="14">
        <f>'Income Statement'!G27</f>
        <v>95640</v>
      </c>
    </row>
    <row r="21" spans="1:8" ht="18" customHeight="1" x14ac:dyDescent="0.25">
      <c r="A21" s="51" t="s">
        <v>57</v>
      </c>
      <c r="B21" s="51"/>
      <c r="C21" s="51"/>
      <c r="D21" s="51"/>
      <c r="E21" s="51"/>
      <c r="F21" s="51"/>
      <c r="G21" s="51"/>
      <c r="H21" s="51"/>
    </row>
    <row r="22" spans="1:8" x14ac:dyDescent="0.25">
      <c r="A22" s="5" t="s">
        <v>58</v>
      </c>
      <c r="B22" s="14">
        <f>'Income Statement'!B17</f>
        <v>55298</v>
      </c>
      <c r="C22" s="14">
        <f>'Income Statement'!C17</f>
        <v>52311</v>
      </c>
      <c r="D22" s="14">
        <f>'Income Statement'!D17</f>
        <v>66710</v>
      </c>
      <c r="E22" s="14">
        <f>'Income Statement'!E17</f>
        <v>89267</v>
      </c>
      <c r="F22" s="14">
        <f>'Income Statement'!F17</f>
        <v>92583</v>
      </c>
      <c r="G22" s="14">
        <f>'Income Statement'!G17</f>
        <v>95443</v>
      </c>
    </row>
    <row r="23" spans="1:8" x14ac:dyDescent="0.25">
      <c r="A23" s="3" t="s">
        <v>59</v>
      </c>
      <c r="B23" s="13">
        <f>'Income Statement'!B14</f>
        <v>61743</v>
      </c>
      <c r="C23" s="13">
        <f>'Income Statement'!C14</f>
        <v>69338</v>
      </c>
      <c r="D23" s="13">
        <f>'Income Statement'!D14</f>
        <v>61985</v>
      </c>
      <c r="E23" s="13">
        <f>'Income Statement'!E14</f>
        <v>68837</v>
      </c>
      <c r="F23" s="13">
        <f>'Income Statement'!F14</f>
        <v>84973</v>
      </c>
      <c r="G23" s="13">
        <f>'Income Statement'!G14</f>
        <v>87004</v>
      </c>
    </row>
    <row r="24" spans="1:8" x14ac:dyDescent="0.25">
      <c r="A24" s="5" t="s">
        <v>60</v>
      </c>
      <c r="B24" s="16">
        <f>'Income Statement'!B17/'Income Statement'!B18</f>
        <v>0.46257831909856706</v>
      </c>
      <c r="C24" s="16">
        <f>'Income Statement'!C17/'Income Statement'!C18</f>
        <v>0.43001586531742964</v>
      </c>
      <c r="D24" s="16">
        <f>'Income Statement'!D17/'Income Statement'!D18</f>
        <v>0.51835735654065818</v>
      </c>
      <c r="E24" s="16">
        <f>'Income Statement'!E17/'Income Statement'!E18</f>
        <v>0.56460937104690578</v>
      </c>
      <c r="F24" s="16">
        <f>'Income Statement'!F17/'Income Statement'!F18</f>
        <v>0.52142985874878911</v>
      </c>
      <c r="G24" s="16">
        <f>'Income Statement'!G17/'Income Statement'!G18</f>
        <v>0.52312726435622403</v>
      </c>
    </row>
    <row r="25" spans="1:8" ht="18" customHeight="1" x14ac:dyDescent="0.25">
      <c r="A25" s="51" t="s">
        <v>61</v>
      </c>
      <c r="B25" s="51"/>
      <c r="C25" s="51"/>
      <c r="D25" s="51"/>
      <c r="E25" s="51"/>
      <c r="F25" s="51"/>
      <c r="G25" s="51"/>
      <c r="H25" s="51"/>
    </row>
    <row r="26" spans="1:8" x14ac:dyDescent="0.25">
      <c r="A26" s="5" t="s">
        <v>62</v>
      </c>
      <c r="B26" s="17" t="s">
        <v>63</v>
      </c>
      <c r="C26" s="17">
        <f>('Income Statement'!C18-'Income Statement'!B18)/'Income Statement'!B18</f>
        <v>1.7617091757777537E-2</v>
      </c>
      <c r="D26" s="17">
        <f>('Income Statement'!D18-'Income Statement'!C18)/'Income Statement'!C18</f>
        <v>5.7920739175825534E-2</v>
      </c>
      <c r="E26" s="17">
        <f>('Income Statement'!E18-'Income Statement'!D18)/'Income Statement'!D18</f>
        <v>0.2285170364039007</v>
      </c>
      <c r="F26" s="17">
        <f>('Income Statement'!F18-'Income Statement'!E18)/'Income Statement'!E18</f>
        <v>0.12303294034306532</v>
      </c>
      <c r="G26" s="17">
        <f>('Income Statement'!G18-'Income Statement'!F18)/'Income Statement'!F18</f>
        <v>2.7546238933069005E-2</v>
      </c>
    </row>
    <row r="27" spans="1:8" x14ac:dyDescent="0.25">
      <c r="A27" s="3" t="s">
        <v>64</v>
      </c>
      <c r="B27" s="18" t="s">
        <v>63</v>
      </c>
      <c r="C27" s="18">
        <f>('Income Statement'!C31-'Income Statement'!B31)/'Income Statement'!B31</f>
        <v>0.65919467234217843</v>
      </c>
      <c r="D27" s="18">
        <f>('Income Statement'!D31-'Income Statement'!C31)/'Income Statement'!C31</f>
        <v>-0.22050730334754004</v>
      </c>
      <c r="E27" s="18">
        <f>('Income Statement'!E31-'Income Statement'!D31)/'Income Statement'!D31</f>
        <v>0.31521392929185688</v>
      </c>
      <c r="F27" s="18">
        <f>('Income Statement'!F31-'Income Statement'!E31)/'Income Statement'!E31</f>
        <v>0.17999273490474652</v>
      </c>
      <c r="G27" s="18">
        <f>('Income Statement'!G31-'Income Statement'!F31)/'Income Statement'!F31</f>
        <v>-2.4336850746523919E-2</v>
      </c>
    </row>
    <row r="28" spans="1:8" x14ac:dyDescent="0.25">
      <c r="A28" s="5" t="s">
        <v>65</v>
      </c>
      <c r="B28" s="17" t="s">
        <v>63</v>
      </c>
      <c r="C28" s="17">
        <f>('Income Statement'!C33-'Income Statement'!B33)/'Income Statement'!B33</f>
        <v>0.72972972972972949</v>
      </c>
      <c r="D28" s="17">
        <f>('Income Statement'!D33-'Income Statement'!C33)/'Income Statement'!C33</f>
        <v>-0.21289062499999997</v>
      </c>
      <c r="E28" s="17">
        <f>('Income Statement'!E33-'Income Statement'!D33)/'Income Statement'!D33</f>
        <v>0.34243176178660056</v>
      </c>
      <c r="F28" s="17">
        <f>('Income Statement'!F33-'Income Statement'!E33)/'Income Statement'!E33</f>
        <v>0.21688231669747379</v>
      </c>
      <c r="G28" s="17">
        <f>('Income Statement'!G33-'Income Statement'!F33)/'Income Statement'!F33</f>
        <v>1.3670886075949346E-2</v>
      </c>
    </row>
    <row r="29" spans="1:8" ht="18" customHeight="1" x14ac:dyDescent="0.25">
      <c r="A29" s="51" t="s">
        <v>66</v>
      </c>
      <c r="B29" s="51"/>
      <c r="C29" s="51"/>
      <c r="D29" s="51"/>
      <c r="E29" s="51"/>
      <c r="F29" s="51"/>
      <c r="G29" s="51"/>
      <c r="H29" s="51"/>
    </row>
    <row r="30" spans="1:8" x14ac:dyDescent="0.25">
      <c r="A30" s="5" t="s">
        <v>32</v>
      </c>
      <c r="B30" s="19">
        <f>'Income Statement'!B33</f>
        <v>8.8800000000000008</v>
      </c>
      <c r="C30" s="19">
        <f>'Income Statement'!C33</f>
        <v>15.36</v>
      </c>
      <c r="D30" s="19">
        <f>'Income Statement'!D33</f>
        <v>12.09</v>
      </c>
      <c r="E30" s="19">
        <f>'Income Statement'!E33</f>
        <v>16.23</v>
      </c>
      <c r="F30" s="19">
        <f>'Income Statement'!F33</f>
        <v>19.75</v>
      </c>
      <c r="G30" s="19">
        <f>'Income Statement'!G33</f>
        <v>20.02</v>
      </c>
    </row>
    <row r="31" spans="1:8" x14ac:dyDescent="0.25">
      <c r="A31" s="3" t="s">
        <v>67</v>
      </c>
      <c r="B31" s="20">
        <f>'Income Statement'!B34</f>
        <v>81.75</v>
      </c>
      <c r="C31" s="20">
        <f>'Income Statement'!C34</f>
        <v>88.07</v>
      </c>
      <c r="D31" s="20">
        <f>'Income Statement'!D34</f>
        <v>90.29</v>
      </c>
      <c r="E31" s="20">
        <f>'Income Statement'!E34</f>
        <v>104.45</v>
      </c>
      <c r="F31" s="20">
        <f>'Income Statement'!F34</f>
        <v>116.07</v>
      </c>
      <c r="G31" s="20">
        <f>'Income Statement'!G34</f>
        <v>126.99</v>
      </c>
    </row>
    <row r="32" spans="1:8" x14ac:dyDescent="0.25">
      <c r="A32" s="5" t="s">
        <v>68</v>
      </c>
      <c r="B32" s="19">
        <f>'Income Statement'!B35</f>
        <v>66.11</v>
      </c>
      <c r="C32" s="19">
        <f>'Income Statement'!C35</f>
        <v>71.53</v>
      </c>
      <c r="D32" s="19">
        <f>'Income Statement'!D35</f>
        <v>73.12</v>
      </c>
      <c r="E32" s="19">
        <f>'Income Statement'!E35</f>
        <v>86.08</v>
      </c>
      <c r="F32" s="19">
        <f>'Income Statement'!F35</f>
        <v>97.3</v>
      </c>
      <c r="G32" s="19">
        <f>'Income Statement'!G35</f>
        <v>107.56</v>
      </c>
    </row>
    <row r="34" spans="1:8" x14ac:dyDescent="0.25">
      <c r="A34" s="48" t="s">
        <v>35</v>
      </c>
      <c r="B34" s="48"/>
      <c r="C34" s="48"/>
      <c r="D34" s="48"/>
      <c r="E34" s="48"/>
      <c r="F34" s="48"/>
      <c r="G34" s="48"/>
      <c r="H34" s="48"/>
    </row>
    <row r="35" spans="1:8" x14ac:dyDescent="0.25">
      <c r="A35" s="48" t="s">
        <v>69</v>
      </c>
      <c r="B35" s="48"/>
      <c r="C35" s="48"/>
      <c r="D35" s="48"/>
      <c r="E35" s="48"/>
      <c r="F35" s="48"/>
      <c r="G35" s="48"/>
      <c r="H35" s="48"/>
    </row>
  </sheetData>
  <mergeCells count="11">
    <mergeCell ref="A35:H35"/>
    <mergeCell ref="A18:H18"/>
    <mergeCell ref="A21:H21"/>
    <mergeCell ref="A25:H25"/>
    <mergeCell ref="A29:H29"/>
    <mergeCell ref="A34:H34"/>
    <mergeCell ref="A1:H1"/>
    <mergeCell ref="A2:H2"/>
    <mergeCell ref="A4:H4"/>
    <mergeCell ref="A11:H11"/>
    <mergeCell ref="A15:H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2C9E3-0419-439E-A358-D4DFF79A38DE}">
  <dimension ref="A1:G23"/>
  <sheetViews>
    <sheetView workbookViewId="0">
      <selection activeCell="G21" sqref="G21"/>
    </sheetView>
  </sheetViews>
  <sheetFormatPr defaultRowHeight="15" x14ac:dyDescent="0.25"/>
  <cols>
    <col min="1" max="1" width="18" bestFit="1" customWidth="1"/>
    <col min="2" max="2" width="12.28515625" bestFit="1" customWidth="1"/>
    <col min="3" max="6" width="12.140625" bestFit="1" customWidth="1"/>
    <col min="7" max="7" width="10.28515625" bestFit="1" customWidth="1"/>
  </cols>
  <sheetData>
    <row r="1" spans="1:6" x14ac:dyDescent="0.25">
      <c r="A1" s="53" t="s">
        <v>105</v>
      </c>
      <c r="B1" s="53"/>
      <c r="C1" s="32"/>
      <c r="D1" s="32"/>
    </row>
    <row r="2" spans="1:6" x14ac:dyDescent="0.25">
      <c r="A2" s="31" t="s">
        <v>99</v>
      </c>
      <c r="B2" s="31" t="s">
        <v>98</v>
      </c>
      <c r="C2" s="31" t="s">
        <v>101</v>
      </c>
      <c r="D2" s="31" t="s">
        <v>100</v>
      </c>
    </row>
    <row r="3" spans="1:6" x14ac:dyDescent="0.25">
      <c r="A3" s="22" t="s">
        <v>102</v>
      </c>
      <c r="B3" s="22">
        <v>-150</v>
      </c>
      <c r="C3" s="22">
        <v>-75</v>
      </c>
      <c r="D3" s="22">
        <v>-25</v>
      </c>
    </row>
    <row r="4" spans="1:6" x14ac:dyDescent="0.25">
      <c r="A4" s="22" t="s">
        <v>103</v>
      </c>
      <c r="B4" s="22">
        <v>0.01</v>
      </c>
      <c r="C4" s="22">
        <v>0.03</v>
      </c>
      <c r="D4" s="22">
        <v>0.05</v>
      </c>
    </row>
    <row r="5" spans="1:6" x14ac:dyDescent="0.25">
      <c r="A5" s="23" t="s">
        <v>104</v>
      </c>
      <c r="B5" s="26">
        <v>94951.468550000005</v>
      </c>
      <c r="C5" s="26">
        <v>97568.992824999994</v>
      </c>
      <c r="D5" s="26">
        <v>99964.612125</v>
      </c>
    </row>
    <row r="8" spans="1:6" x14ac:dyDescent="0.25">
      <c r="A8" s="53" t="s">
        <v>106</v>
      </c>
      <c r="B8" s="53"/>
    </row>
    <row r="11" spans="1:6" x14ac:dyDescent="0.25">
      <c r="A11" s="31" t="s">
        <v>97</v>
      </c>
      <c r="B11" s="31">
        <v>2026</v>
      </c>
      <c r="C11" s="31">
        <v>2027</v>
      </c>
      <c r="D11" s="31">
        <v>2028</v>
      </c>
      <c r="E11" s="31">
        <v>2029</v>
      </c>
      <c r="F11" s="31">
        <v>2030</v>
      </c>
    </row>
    <row r="12" spans="1:6" x14ac:dyDescent="0.25">
      <c r="A12" s="24" t="s">
        <v>109</v>
      </c>
      <c r="B12" s="25">
        <v>0.01</v>
      </c>
      <c r="C12" s="25">
        <v>0.01</v>
      </c>
      <c r="D12" s="25">
        <v>0.01</v>
      </c>
      <c r="E12" s="25">
        <v>0.01</v>
      </c>
      <c r="F12" s="25">
        <v>0.01</v>
      </c>
    </row>
    <row r="13" spans="1:6" x14ac:dyDescent="0.25">
      <c r="A13" s="24" t="s">
        <v>110</v>
      </c>
      <c r="B13" s="25">
        <v>-1.4999999999999999E-2</v>
      </c>
      <c r="C13" s="25">
        <v>-5.0000000000000001E-3</v>
      </c>
      <c r="D13" s="25">
        <v>-2.5000000000000001E-3</v>
      </c>
      <c r="E13" s="25">
        <v>-5.0000000000000001E-3</v>
      </c>
      <c r="F13" s="25">
        <v>-5.0000000000000001E-3</v>
      </c>
    </row>
    <row r="14" spans="1:6" x14ac:dyDescent="0.25">
      <c r="A14" s="24" t="s">
        <v>111</v>
      </c>
      <c r="B14" s="25">
        <v>0.03</v>
      </c>
      <c r="C14" s="25">
        <v>0.03</v>
      </c>
      <c r="D14" s="25">
        <v>0.03</v>
      </c>
      <c r="E14" s="25">
        <v>0.03</v>
      </c>
      <c r="F14" s="25">
        <v>0.03</v>
      </c>
    </row>
    <row r="15" spans="1:6" x14ac:dyDescent="0.25">
      <c r="A15" s="24" t="s">
        <v>112</v>
      </c>
      <c r="B15" s="25">
        <v>-7.4999999999999997E-3</v>
      </c>
      <c r="C15" s="25">
        <v>-2.5000000000000001E-3</v>
      </c>
      <c r="D15" s="25">
        <v>2.5000000000000001E-3</v>
      </c>
      <c r="E15" s="25">
        <v>5.0000000000000001E-3</v>
      </c>
      <c r="F15" s="25">
        <v>5.0000000000000001E-3</v>
      </c>
    </row>
    <row r="16" spans="1:6" x14ac:dyDescent="0.25">
      <c r="A16" s="24" t="s">
        <v>113</v>
      </c>
      <c r="B16" s="25">
        <v>0.05</v>
      </c>
      <c r="C16" s="25">
        <v>0.05</v>
      </c>
      <c r="D16" s="25">
        <v>0.05</v>
      </c>
      <c r="E16" s="25">
        <v>0.05</v>
      </c>
      <c r="F16" s="25">
        <v>0.05</v>
      </c>
    </row>
    <row r="17" spans="1:7" x14ac:dyDescent="0.25">
      <c r="A17" s="24" t="s">
        <v>115</v>
      </c>
      <c r="B17" s="25">
        <v>-2.5000000000000001E-3</v>
      </c>
      <c r="C17" s="25">
        <v>0</v>
      </c>
      <c r="D17" s="25">
        <v>2.5000000000000001E-3</v>
      </c>
      <c r="E17" s="25">
        <v>0.01</v>
      </c>
      <c r="F17" s="25">
        <v>1.2E-2</v>
      </c>
    </row>
    <row r="20" spans="1:7" x14ac:dyDescent="0.25">
      <c r="A20" s="31" t="s">
        <v>108</v>
      </c>
      <c r="B20" s="31">
        <v>2026</v>
      </c>
      <c r="C20" s="31">
        <v>2027</v>
      </c>
      <c r="D20" s="31">
        <v>2028</v>
      </c>
      <c r="E20" s="31">
        <v>2029</v>
      </c>
      <c r="F20" s="31">
        <v>2030</v>
      </c>
      <c r="G20" s="31" t="s">
        <v>152</v>
      </c>
    </row>
    <row r="21" spans="1:7" x14ac:dyDescent="0.25">
      <c r="A21" s="24" t="s">
        <v>98</v>
      </c>
      <c r="B21" s="27">
        <f>95443*(1+B12)*(1+B13)</f>
        <v>94951.468550000005</v>
      </c>
      <c r="C21" s="27">
        <f>B21*(1+C12)*(1+C13)</f>
        <v>95421.478319322516</v>
      </c>
      <c r="D21" s="27">
        <f t="shared" ref="D21:F21" si="0">C21*(1+D12)*(1+D13)</f>
        <v>96134.753869759457</v>
      </c>
      <c r="E21" s="27">
        <f t="shared" si="0"/>
        <v>96610.620901414761</v>
      </c>
      <c r="F21" s="27">
        <f t="shared" si="0"/>
        <v>97088.843474876761</v>
      </c>
      <c r="G21" s="45">
        <f>_xlfn.RRI(5,B21,F21)</f>
        <v>4.4620389264675708E-3</v>
      </c>
    </row>
    <row r="22" spans="1:7" x14ac:dyDescent="0.25">
      <c r="A22" s="24" t="s">
        <v>114</v>
      </c>
      <c r="B22" s="27">
        <f>95443*(1+B14)*(1+B15)</f>
        <v>97568.992825000008</v>
      </c>
      <c r="C22" s="27">
        <f>B22*(1+C14)*(1+C15)</f>
        <v>100244.82245322564</v>
      </c>
      <c r="D22" s="27">
        <f t="shared" ref="D22:F22" si="1">C22*(1+D14)*(1+D15)</f>
        <v>103510.29754463947</v>
      </c>
      <c r="E22" s="27">
        <f t="shared" si="1"/>
        <v>107148.68450333354</v>
      </c>
      <c r="F22" s="27">
        <f t="shared" si="1"/>
        <v>110914.9607636257</v>
      </c>
      <c r="G22" s="45">
        <f>_xlfn.RRI(5,B22,F22)</f>
        <v>2.5972361620209217E-2</v>
      </c>
    </row>
    <row r="23" spans="1:7" x14ac:dyDescent="0.25">
      <c r="A23" s="24" t="s">
        <v>107</v>
      </c>
      <c r="B23" s="27">
        <f>95443*(1+B16)*(1+B17)</f>
        <v>99964.612125000014</v>
      </c>
      <c r="C23" s="27">
        <f>B23*(1+C16)*(1+C17)</f>
        <v>104962.84273125001</v>
      </c>
      <c r="D23" s="27">
        <f t="shared" ref="D23:F23" si="2">C23*(1+D16)*(1+D17)</f>
        <v>110486.51232998204</v>
      </c>
      <c r="E23" s="27">
        <f t="shared" si="2"/>
        <v>117170.94632594596</v>
      </c>
      <c r="F23" s="27">
        <f t="shared" si="2"/>
        <v>124505.84756595019</v>
      </c>
      <c r="G23" s="45">
        <f>_xlfn.RRI(5,B23,F23)</f>
        <v>4.4885476681635783E-2</v>
      </c>
    </row>
  </sheetData>
  <mergeCells count="2">
    <mergeCell ref="A1:B1"/>
    <mergeCell ref="A8:B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3A0C9-0EBA-4CAF-829C-0B49A3019509}">
  <dimension ref="A1:O35"/>
  <sheetViews>
    <sheetView tabSelected="1" topLeftCell="A3" zoomScaleNormal="100" workbookViewId="0">
      <selection activeCell="I30" sqref="I30"/>
    </sheetView>
  </sheetViews>
  <sheetFormatPr defaultRowHeight="15" x14ac:dyDescent="0.25"/>
  <cols>
    <col min="1" max="1" width="22.42578125" bestFit="1" customWidth="1"/>
    <col min="3" max="3" width="10.85546875" bestFit="1" customWidth="1"/>
    <col min="4" max="4" width="8.85546875" customWidth="1"/>
    <col min="12" max="12" width="20.5703125" bestFit="1" customWidth="1"/>
    <col min="13" max="15" width="8.7109375" bestFit="1" customWidth="1"/>
  </cols>
  <sheetData>
    <row r="1" spans="1:15" x14ac:dyDescent="0.25">
      <c r="A1" s="31" t="s">
        <v>97</v>
      </c>
    </row>
    <row r="2" spans="1:15" x14ac:dyDescent="0.25">
      <c r="A2" s="24" t="s">
        <v>116</v>
      </c>
      <c r="B2" s="25">
        <v>0.27</v>
      </c>
    </row>
    <row r="3" spans="1:15" x14ac:dyDescent="0.25">
      <c r="A3" s="24" t="s">
        <v>117</v>
      </c>
      <c r="B3" s="25">
        <v>0.1055</v>
      </c>
    </row>
    <row r="4" spans="1:15" x14ac:dyDescent="0.25">
      <c r="A4" s="24" t="s">
        <v>118</v>
      </c>
      <c r="B4" s="25">
        <v>0.03</v>
      </c>
    </row>
    <row r="5" spans="1:15" x14ac:dyDescent="0.25">
      <c r="A5" s="24" t="s">
        <v>119</v>
      </c>
      <c r="B5" s="25">
        <v>4.2000000000000003E-2</v>
      </c>
    </row>
    <row r="6" spans="1:15" x14ac:dyDescent="0.25">
      <c r="A6" s="24" t="s">
        <v>120</v>
      </c>
      <c r="B6" s="28">
        <v>0.01</v>
      </c>
    </row>
    <row r="7" spans="1:15" x14ac:dyDescent="0.25">
      <c r="A7" s="31" t="s">
        <v>150</v>
      </c>
      <c r="B7" s="31"/>
    </row>
    <row r="8" spans="1:15" x14ac:dyDescent="0.25">
      <c r="A8" s="24" t="s">
        <v>126</v>
      </c>
      <c r="B8" s="43">
        <v>10.5</v>
      </c>
      <c r="L8" t="s">
        <v>133</v>
      </c>
    </row>
    <row r="9" spans="1:15" x14ac:dyDescent="0.25">
      <c r="A9" s="24" t="s">
        <v>114</v>
      </c>
      <c r="B9" s="43">
        <v>13.5</v>
      </c>
      <c r="L9" s="31" t="s">
        <v>130</v>
      </c>
      <c r="M9" s="31" t="s">
        <v>126</v>
      </c>
      <c r="N9" s="31" t="s">
        <v>101</v>
      </c>
      <c r="O9" s="31" t="s">
        <v>107</v>
      </c>
    </row>
    <row r="10" spans="1:15" x14ac:dyDescent="0.25">
      <c r="A10" s="24" t="s">
        <v>107</v>
      </c>
      <c r="B10" s="43">
        <v>16.5</v>
      </c>
      <c r="L10" s="31" t="s">
        <v>124</v>
      </c>
      <c r="M10" s="37">
        <f>B23</f>
        <v>63.106842982283872</v>
      </c>
      <c r="N10" s="37">
        <f>B16</f>
        <v>70.649256134087636</v>
      </c>
      <c r="O10" s="37">
        <f>B30</f>
        <v>79.942837436041742</v>
      </c>
    </row>
    <row r="11" spans="1:15" x14ac:dyDescent="0.25">
      <c r="A11" s="31" t="s">
        <v>121</v>
      </c>
      <c r="B11" s="31" t="s">
        <v>114</v>
      </c>
      <c r="C11" s="46" t="str">
        <f>HYPERLINK("#'DDM, D&amp;PDM Valuation'!A32", "EPS growth")</f>
        <v>EPS growth</v>
      </c>
      <c r="D11" s="36">
        <f>Projections!G22</f>
        <v>2.5972361620209217E-2</v>
      </c>
      <c r="E11" s="36" t="s">
        <v>120</v>
      </c>
      <c r="F11" s="36"/>
      <c r="G11" s="44">
        <v>0.01</v>
      </c>
      <c r="L11" s="31" t="s">
        <v>128</v>
      </c>
      <c r="M11" s="37">
        <f>B24</f>
        <v>154.2292290290155</v>
      </c>
      <c r="N11" s="37">
        <f>B17</f>
        <v>218.02003896681862</v>
      </c>
      <c r="O11" s="37">
        <f>B31</f>
        <v>299.93423406822984</v>
      </c>
    </row>
    <row r="12" spans="1:15" x14ac:dyDescent="0.25">
      <c r="A12" s="34">
        <v>20.02</v>
      </c>
      <c r="B12" s="24">
        <v>2026</v>
      </c>
      <c r="C12" s="24">
        <v>2027</v>
      </c>
      <c r="D12" s="24">
        <v>2028</v>
      </c>
      <c r="E12" s="24">
        <v>2029</v>
      </c>
      <c r="F12" s="24">
        <v>2030</v>
      </c>
      <c r="L12" s="31" t="s">
        <v>129</v>
      </c>
      <c r="M12" s="37">
        <v>288</v>
      </c>
      <c r="N12" s="37">
        <v>288</v>
      </c>
      <c r="O12" s="37">
        <v>288</v>
      </c>
    </row>
    <row r="13" spans="1:15" x14ac:dyDescent="0.25">
      <c r="A13" s="29" t="s">
        <v>125</v>
      </c>
      <c r="B13" s="30">
        <f>(20.02*(1+$D$11))/(1-$G$11)</f>
        <v>20.747441090542008</v>
      </c>
      <c r="C13" s="30">
        <f>(B13*(1+$D$11))/(1-$G$11)</f>
        <v>21.501314275999551</v>
      </c>
      <c r="D13" s="30">
        <f>(C13*(1+$D$11))/(1-$G$11)</f>
        <v>22.282579985540988</v>
      </c>
      <c r="E13" s="30">
        <f>(D13*(1+$D$11))/(1-$G$11)</f>
        <v>23.092233546218882</v>
      </c>
      <c r="F13" s="30">
        <f>(E13*(1+$D$11))/(1-$G$11)</f>
        <v>23.9313064510097</v>
      </c>
    </row>
    <row r="14" spans="1:15" x14ac:dyDescent="0.25">
      <c r="A14" s="24" t="s">
        <v>122</v>
      </c>
      <c r="B14" s="30">
        <f>B13*$B$2</f>
        <v>5.6018090944463426</v>
      </c>
      <c r="C14" s="30">
        <f t="shared" ref="C14:F14" si="0">C13*$B$2</f>
        <v>5.8053548545198792</v>
      </c>
      <c r="D14" s="30">
        <f t="shared" si="0"/>
        <v>6.0162965960960673</v>
      </c>
      <c r="E14" s="30">
        <f t="shared" si="0"/>
        <v>6.2349030574790989</v>
      </c>
      <c r="F14" s="30">
        <f t="shared" si="0"/>
        <v>6.4614527417726197</v>
      </c>
      <c r="L14" t="s">
        <v>131</v>
      </c>
    </row>
    <row r="15" spans="1:15" x14ac:dyDescent="0.25">
      <c r="A15" s="24" t="s">
        <v>123</v>
      </c>
      <c r="B15" s="30">
        <f>B14/((1+$B$3))^1</f>
        <v>5.0672176340536801</v>
      </c>
      <c r="C15" s="30">
        <f>C14/((1+$B$3))^2</f>
        <v>4.7501932421031885</v>
      </c>
      <c r="D15" s="30">
        <f>D14/((1+$B$3))^3</f>
        <v>4.4530031008894619</v>
      </c>
      <c r="E15" s="30">
        <f>E14/((1+$B$3))^4</f>
        <v>4.174406304311022</v>
      </c>
      <c r="F15" s="30">
        <f>F14/((1+$B$3))^5</f>
        <v>3.9132395820678685</v>
      </c>
      <c r="G15" s="33"/>
      <c r="L15" s="38" t="s">
        <v>116</v>
      </c>
      <c r="M15" s="38">
        <v>0.27</v>
      </c>
    </row>
    <row r="16" spans="1:15" x14ac:dyDescent="0.25">
      <c r="A16" s="24" t="s">
        <v>124</v>
      </c>
      <c r="B16" s="35">
        <f>SUM(B15:F15)+((F14*(1+B4)/(B3-B4))*(1/(1+B3)^6))</f>
        <v>70.649256134087636</v>
      </c>
      <c r="L16" s="38" t="s">
        <v>117</v>
      </c>
      <c r="M16" s="38">
        <v>0.1055</v>
      </c>
    </row>
    <row r="17" spans="1:15" x14ac:dyDescent="0.25">
      <c r="A17" s="24" t="s">
        <v>128</v>
      </c>
      <c r="B17" s="33">
        <f>SUM(B15:E15)+(F14+F13*B9)/(1+B3)^5</f>
        <v>218.02003896681862</v>
      </c>
      <c r="D17" s="33"/>
      <c r="L17" s="38" t="s">
        <v>118</v>
      </c>
      <c r="M17" s="38">
        <v>0.03</v>
      </c>
    </row>
    <row r="18" spans="1:15" x14ac:dyDescent="0.25">
      <c r="A18" s="31" t="s">
        <v>121</v>
      </c>
      <c r="B18" s="31" t="s">
        <v>126</v>
      </c>
      <c r="C18" s="31" t="str">
        <f>HYPERLINK("#'DDM, D&amp;PDM Valuation'!A32", "EPS growth")</f>
        <v>EPS growth</v>
      </c>
      <c r="D18" s="36">
        <f>Projections!G21</f>
        <v>4.4620389264675708E-3</v>
      </c>
      <c r="E18" s="36" t="s">
        <v>120</v>
      </c>
      <c r="F18" s="36"/>
      <c r="G18" s="44">
        <v>5.0000000000000001E-3</v>
      </c>
      <c r="L18" s="31"/>
      <c r="M18" s="31" t="s">
        <v>126</v>
      </c>
      <c r="N18" s="31" t="s">
        <v>101</v>
      </c>
      <c r="O18" s="31" t="s">
        <v>107</v>
      </c>
    </row>
    <row r="19" spans="1:15" x14ac:dyDescent="0.25">
      <c r="A19" s="34">
        <v>20.02</v>
      </c>
      <c r="B19" s="24">
        <v>2026</v>
      </c>
      <c r="C19" s="24">
        <v>2027</v>
      </c>
      <c r="D19" s="24">
        <v>2028</v>
      </c>
      <c r="E19" s="24">
        <v>2029</v>
      </c>
      <c r="F19" s="24">
        <v>2030</v>
      </c>
      <c r="L19" s="31" t="s">
        <v>132</v>
      </c>
      <c r="M19" s="39">
        <v>5.0000000000000001E-3</v>
      </c>
      <c r="N19" s="39">
        <v>4.2000000000000003E-2</v>
      </c>
      <c r="O19" s="39">
        <v>5.6000000000000001E-2</v>
      </c>
    </row>
    <row r="20" spans="1:15" x14ac:dyDescent="0.25">
      <c r="A20" s="29" t="s">
        <v>125</v>
      </c>
      <c r="B20" s="30">
        <f>(20.02*(1+$D$18))/(1-$G$18)</f>
        <v>20.210381928952643</v>
      </c>
      <c r="C20" s="30">
        <f>(B20*(1+$D$18))/(1-$G$18)</f>
        <v>20.402574311395384</v>
      </c>
      <c r="D20" s="30">
        <f>(C20*(1+$D$18))/(1-$G$18)</f>
        <v>20.596594363992942</v>
      </c>
      <c r="E20" s="30">
        <f>(D20*(1+$D$18))/(1-$G$18)</f>
        <v>20.792459467133408</v>
      </c>
      <c r="F20" s="30">
        <f>(E20*(1+$D$18))/(1-$G$18)</f>
        <v>20.990187166485185</v>
      </c>
      <c r="L20" s="31" t="s">
        <v>120</v>
      </c>
      <c r="M20" s="39">
        <f>G11</f>
        <v>0.01</v>
      </c>
      <c r="N20" s="39">
        <f>G18</f>
        <v>5.0000000000000001E-3</v>
      </c>
      <c r="O20" s="39">
        <f>G25</f>
        <v>0.02</v>
      </c>
    </row>
    <row r="21" spans="1:15" x14ac:dyDescent="0.25">
      <c r="A21" s="24" t="s">
        <v>122</v>
      </c>
      <c r="B21" s="30">
        <f>B20*$B$2</f>
        <v>5.4568031208172139</v>
      </c>
      <c r="C21" s="30">
        <f t="shared" ref="C21:F21" si="1">C20*$B$2</f>
        <v>5.508695064076754</v>
      </c>
      <c r="D21" s="30">
        <f t="shared" si="1"/>
        <v>5.5610804782780949</v>
      </c>
      <c r="E21" s="30">
        <f t="shared" si="1"/>
        <v>5.6139640561260205</v>
      </c>
      <c r="F21" s="30">
        <f t="shared" si="1"/>
        <v>5.6673505349510007</v>
      </c>
    </row>
    <row r="22" spans="1:15" x14ac:dyDescent="0.25">
      <c r="A22" s="24" t="s">
        <v>123</v>
      </c>
      <c r="B22" s="30">
        <f>B21/((1+$B$3)^1)</f>
        <v>4.9360498605311749</v>
      </c>
      <c r="C22" s="30">
        <f>C21/((1+$B$3)^2)</f>
        <v>4.5074533291985492</v>
      </c>
      <c r="D22" s="30">
        <f>D21/((1+$B$3)^3)</f>
        <v>4.1160717758059127</v>
      </c>
      <c r="E22" s="30">
        <f>E21/((1+$B$3)^4)</f>
        <v>3.758673828930899</v>
      </c>
      <c r="F22" s="30">
        <f>F21/((1+$B$3)^5)</f>
        <v>3.4323086966878575</v>
      </c>
    </row>
    <row r="23" spans="1:15" x14ac:dyDescent="0.25">
      <c r="A23" s="24" t="s">
        <v>124</v>
      </c>
      <c r="B23" s="35">
        <f>SUM(B22:F22)+((F21*(1+B4)/(B3-B4))*(1/(1+B3)^6))</f>
        <v>63.106842982283872</v>
      </c>
    </row>
    <row r="24" spans="1:15" x14ac:dyDescent="0.25">
      <c r="A24" s="24" t="s">
        <v>128</v>
      </c>
      <c r="B24" s="33">
        <f>SUM(B22:E22)+(F21+F20*B8)/(1+B3)^5</f>
        <v>154.2292290290155</v>
      </c>
    </row>
    <row r="25" spans="1:15" x14ac:dyDescent="0.25">
      <c r="A25" s="31" t="s">
        <v>121</v>
      </c>
      <c r="B25" s="31" t="s">
        <v>100</v>
      </c>
      <c r="C25" s="31" t="str">
        <f>HYPERLINK("#'DDM, D&amp;PDM Valuation'!A32", "EPS growth")</f>
        <v>EPS growth</v>
      </c>
      <c r="D25" s="36">
        <f>Projections!G23</f>
        <v>4.4885476681635783E-2</v>
      </c>
      <c r="E25" s="36" t="s">
        <v>120</v>
      </c>
      <c r="F25" s="36"/>
      <c r="G25" s="44">
        <v>0.02</v>
      </c>
    </row>
    <row r="26" spans="1:15" x14ac:dyDescent="0.25">
      <c r="A26" s="34">
        <v>20.02</v>
      </c>
      <c r="B26" s="24">
        <v>2026</v>
      </c>
      <c r="C26" s="24">
        <v>2027</v>
      </c>
      <c r="D26" s="24">
        <v>2028</v>
      </c>
      <c r="E26" s="24">
        <v>2029</v>
      </c>
      <c r="F26" s="24">
        <v>2030</v>
      </c>
    </row>
    <row r="27" spans="1:15" x14ac:dyDescent="0.25">
      <c r="A27" s="29" t="s">
        <v>125</v>
      </c>
      <c r="B27" s="30">
        <f>(20.02*(1+$D$25))/(1-$G$25)</f>
        <v>21.345517595067705</v>
      </c>
      <c r="C27" s="30">
        <f>(B27*(1+$D$25))/(1-$G$25)</f>
        <v>22.75879727279445</v>
      </c>
      <c r="D27" s="30">
        <f>(C27*(1+$D$25))/(1-$G$25)</f>
        <v>24.265649731718916</v>
      </c>
      <c r="E27" s="30">
        <f>(D27*(1+$D$25))/(1-$G$25)</f>
        <v>25.87227039481299</v>
      </c>
      <c r="F27" s="30">
        <f>(E27*(1+$D$25))/(1-$G$25)</f>
        <v>27.585264881959535</v>
      </c>
    </row>
    <row r="28" spans="1:15" x14ac:dyDescent="0.25">
      <c r="A28" s="24" t="s">
        <v>122</v>
      </c>
      <c r="B28" s="30">
        <f>B27*$B$2</f>
        <v>5.7632897506682808</v>
      </c>
      <c r="C28" s="30">
        <f t="shared" ref="C28:F28" si="2">C27*$B$2</f>
        <v>6.1448752636545017</v>
      </c>
      <c r="D28" s="30">
        <f t="shared" si="2"/>
        <v>6.5517254275641079</v>
      </c>
      <c r="E28" s="30">
        <f t="shared" si="2"/>
        <v>6.9855130065995077</v>
      </c>
      <c r="F28" s="30">
        <f t="shared" si="2"/>
        <v>7.4480215181290754</v>
      </c>
    </row>
    <row r="29" spans="1:15" x14ac:dyDescent="0.25">
      <c r="A29" s="24" t="s">
        <v>127</v>
      </c>
      <c r="B29" s="30">
        <f>B28/((1+$B$3)^1)</f>
        <v>5.2132878793923849</v>
      </c>
      <c r="C29" s="30">
        <f>C28/((1+$B$3)^2)</f>
        <v>5.0280035729861874</v>
      </c>
      <c r="D29" s="30">
        <f>D28/((1+$B$3)^3)</f>
        <v>4.8493044149536555</v>
      </c>
      <c r="E29" s="30">
        <f>E28/((1+$B$3)^4)</f>
        <v>4.6769563639993095</v>
      </c>
      <c r="F29" s="30">
        <f>F28/((1+$B$3)^5)</f>
        <v>4.5107336968373613</v>
      </c>
      <c r="I29" s="33"/>
    </row>
    <row r="30" spans="1:15" x14ac:dyDescent="0.25">
      <c r="A30" s="24" t="s">
        <v>124</v>
      </c>
      <c r="B30" s="35">
        <f>SUM(B29:F29)+((F28*(1+B4)/(B3-B4))*(1/(1+B3)^6))</f>
        <v>79.942837436041742</v>
      </c>
    </row>
    <row r="31" spans="1:15" x14ac:dyDescent="0.25">
      <c r="A31" s="24" t="s">
        <v>128</v>
      </c>
      <c r="B31" s="33">
        <f>SUM(B29:E29)+(F28+F27*B10)/(1+B3)^5</f>
        <v>299.93423406822984</v>
      </c>
    </row>
    <row r="32" spans="1:15" x14ac:dyDescent="0.25">
      <c r="I32" s="33"/>
    </row>
    <row r="34" spans="1:1" x14ac:dyDescent="0.25">
      <c r="A34" s="47" t="s">
        <v>153</v>
      </c>
    </row>
    <row r="35" spans="1:1" x14ac:dyDescent="0.25">
      <c r="A35" t="s">
        <v>154</v>
      </c>
    </row>
  </sheetData>
  <dataConsolid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Income Statement</vt:lpstr>
      <vt:lpstr>Balance Sheet</vt:lpstr>
      <vt:lpstr>Key Metrics</vt:lpstr>
      <vt:lpstr>Projections</vt:lpstr>
      <vt:lpstr>DDM, D&amp;PDM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SOTIRIOS ALIGIANNIS</cp:lastModifiedBy>
  <cp:revision>0</cp:revision>
  <dcterms:created xsi:type="dcterms:W3CDTF">2026-03-08T00:47:23Z</dcterms:created>
  <dcterms:modified xsi:type="dcterms:W3CDTF">2026-06-25T12:46:43Z</dcterms:modified>
  <dc:language>en-US</dc:language>
</cp:coreProperties>
</file>